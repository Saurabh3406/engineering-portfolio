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3" i="1"/>
  <c r="I144" i="1" s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abSelected="1" workbookViewId="0">
      <selection activeCell="F7" sqref="F7"/>
    </sheetView>
  </sheetViews>
  <sheetFormatPr defaultRowHeight="14.4" x14ac:dyDescent="0.3"/>
  <cols>
    <col min="4" max="4" width="11" bestFit="1" customWidth="1"/>
  </cols>
  <sheetData>
    <row r="1" spans="1:9" x14ac:dyDescent="0.3">
      <c r="A1">
        <v>2.9038597146016699E-3</v>
      </c>
      <c r="B1">
        <v>40.443198697019</v>
      </c>
      <c r="D1">
        <f>CONVERT($A1,"in","mm")</f>
        <v>7.3758036750882411E-2</v>
      </c>
      <c r="G1">
        <f>CONVERT($B1,"lbf","N")</f>
        <v>179.90031063435521</v>
      </c>
    </row>
    <row r="2" spans="1:9" x14ac:dyDescent="0.3">
      <c r="A2">
        <v>3.5516086415613699E-2</v>
      </c>
      <c r="B2">
        <v>44.909883689446403</v>
      </c>
      <c r="D2">
        <f t="shared" ref="D2:D65" si="0">CONVERT($A2,"in","mm")</f>
        <v>0.90210859495658802</v>
      </c>
      <c r="G2">
        <f t="shared" ref="G2:G65" si="1">CONVERT($B2,"lbf","N")</f>
        <v>199.76911536623047</v>
      </c>
      <c r="I2">
        <f>(G2-G1)/(D2-D1)/9.80665</f>
        <v>2.4458898611081095</v>
      </c>
    </row>
    <row r="3" spans="1:9" x14ac:dyDescent="0.3">
      <c r="A3">
        <v>7.7024656070468794E-2</v>
      </c>
      <c r="B3">
        <v>51.607308414443402</v>
      </c>
      <c r="D3">
        <f t="shared" si="0"/>
        <v>1.9564262641899077</v>
      </c>
      <c r="G3">
        <f t="shared" si="1"/>
        <v>229.56074479454222</v>
      </c>
      <c r="I3">
        <f t="shared" ref="I3:I66" si="2">(G3-G2)/(D3-D2)/9.80665</f>
        <v>2.881390346153538</v>
      </c>
    </row>
    <row r="4" spans="1:9" x14ac:dyDescent="0.3">
      <c r="A4">
        <v>0.10370906645415</v>
      </c>
      <c r="B4">
        <v>56.071911195955202</v>
      </c>
      <c r="D4">
        <f t="shared" si="0"/>
        <v>2.6342102879354101</v>
      </c>
      <c r="G4">
        <f t="shared" si="1"/>
        <v>249.42028739081516</v>
      </c>
      <c r="I4">
        <f t="shared" si="2"/>
        <v>2.9878393202359224</v>
      </c>
    </row>
    <row r="5" spans="1:9" x14ac:dyDescent="0.3">
      <c r="A5">
        <v>0.124463351281578</v>
      </c>
      <c r="B5">
        <v>59.420623558453599</v>
      </c>
      <c r="D5">
        <f t="shared" si="0"/>
        <v>3.161369122552081</v>
      </c>
      <c r="G5">
        <f t="shared" si="1"/>
        <v>264.31610210497058</v>
      </c>
      <c r="I5">
        <f t="shared" si="2"/>
        <v>2.8813903461533892</v>
      </c>
    </row>
    <row r="6" spans="1:9" x14ac:dyDescent="0.3">
      <c r="A6">
        <v>0.14818154426767099</v>
      </c>
      <c r="B6">
        <v>62.770377026409903</v>
      </c>
      <c r="D6">
        <f t="shared" si="0"/>
        <v>3.7638112243988435</v>
      </c>
      <c r="G6">
        <f t="shared" si="1"/>
        <v>279.21654788692763</v>
      </c>
      <c r="I6">
        <f>(G6-G5)/(D6-D5)/9.80665</f>
        <v>2.5221056260647927</v>
      </c>
    </row>
    <row r="7" spans="1:9" x14ac:dyDescent="0.3">
      <c r="A7">
        <v>0.17190204649268701</v>
      </c>
      <c r="B7">
        <v>67.233938702463902</v>
      </c>
      <c r="D7">
        <f t="shared" si="0"/>
        <v>4.3663119809142508</v>
      </c>
      <c r="G7">
        <f t="shared" si="1"/>
        <v>299.07145941539943</v>
      </c>
      <c r="I7">
        <f t="shared" si="2"/>
        <v>3.3603900034783329</v>
      </c>
    </row>
    <row r="8" spans="1:9" x14ac:dyDescent="0.3">
      <c r="A8">
        <v>0.19562254871770399</v>
      </c>
      <c r="B8">
        <v>71.697500378517901</v>
      </c>
      <c r="D8">
        <f t="shared" si="0"/>
        <v>4.9688127374296807</v>
      </c>
      <c r="G8">
        <f t="shared" si="1"/>
        <v>318.92637094387123</v>
      </c>
      <c r="I8">
        <f t="shared" si="2"/>
        <v>3.3603900034782068</v>
      </c>
    </row>
    <row r="9" spans="1:9" x14ac:dyDescent="0.3">
      <c r="A9">
        <v>0.22823477541871601</v>
      </c>
      <c r="B9">
        <v>76.164185370945304</v>
      </c>
      <c r="D9">
        <f t="shared" si="0"/>
        <v>5.7971632956353867</v>
      </c>
      <c r="G9">
        <f t="shared" si="1"/>
        <v>338.79517567574652</v>
      </c>
      <c r="I9">
        <f t="shared" si="2"/>
        <v>2.4458898611081112</v>
      </c>
    </row>
    <row r="10" spans="1:9" x14ac:dyDescent="0.3">
      <c r="A10">
        <v>0.25195296840480902</v>
      </c>
      <c r="B10">
        <v>79.513938838901595</v>
      </c>
      <c r="D10">
        <f t="shared" si="0"/>
        <v>6.3996053974821496</v>
      </c>
      <c r="G10">
        <f t="shared" si="1"/>
        <v>353.69562145770351</v>
      </c>
      <c r="I10">
        <f t="shared" si="2"/>
        <v>2.5221056260647807</v>
      </c>
    </row>
    <row r="11" spans="1:9" x14ac:dyDescent="0.3">
      <c r="A11">
        <v>0.27863737878848999</v>
      </c>
      <c r="B11">
        <v>83.978541620413694</v>
      </c>
      <c r="D11">
        <f t="shared" si="0"/>
        <v>7.0773894212276458</v>
      </c>
      <c r="G11">
        <f t="shared" si="1"/>
        <v>373.55516405397771</v>
      </c>
      <c r="I11">
        <f t="shared" si="2"/>
        <v>2.9878393202361382</v>
      </c>
    </row>
    <row r="12" spans="1:9" x14ac:dyDescent="0.3">
      <c r="A12">
        <v>0.30532178917217201</v>
      </c>
      <c r="B12">
        <v>88.443144401925494</v>
      </c>
      <c r="D12">
        <f t="shared" si="0"/>
        <v>7.7551734449731695</v>
      </c>
      <c r="G12">
        <f t="shared" si="1"/>
        <v>393.41470665025071</v>
      </c>
      <c r="I12">
        <f t="shared" si="2"/>
        <v>2.9878393202358371</v>
      </c>
    </row>
    <row r="13" spans="1:9" x14ac:dyDescent="0.3">
      <c r="A13">
        <v>0.32607607399959998</v>
      </c>
      <c r="B13">
        <v>91.791856764423997</v>
      </c>
      <c r="D13">
        <f t="shared" si="0"/>
        <v>8.2823322795898395</v>
      </c>
      <c r="G13">
        <f t="shared" si="1"/>
        <v>408.31052136440655</v>
      </c>
      <c r="I13">
        <f t="shared" si="2"/>
        <v>2.8813903461534767</v>
      </c>
    </row>
    <row r="14" spans="1:9" x14ac:dyDescent="0.3">
      <c r="A14">
        <v>0.34979426698569199</v>
      </c>
      <c r="B14">
        <v>95.141610232379904</v>
      </c>
      <c r="D14">
        <f t="shared" si="0"/>
        <v>8.8847743814365767</v>
      </c>
      <c r="G14">
        <f t="shared" si="1"/>
        <v>423.21096714636184</v>
      </c>
      <c r="I14">
        <f t="shared" si="2"/>
        <v>2.5221056260646</v>
      </c>
    </row>
    <row r="15" spans="1:9" x14ac:dyDescent="0.3">
      <c r="A15">
        <v>0.379442585528039</v>
      </c>
      <c r="B15">
        <v>99.607254119349903</v>
      </c>
      <c r="D15">
        <f t="shared" si="0"/>
        <v>9.6378416724121916</v>
      </c>
      <c r="G15">
        <f t="shared" si="1"/>
        <v>443.07514081043774</v>
      </c>
      <c r="I15">
        <f t="shared" si="2"/>
        <v>2.6897755599536839</v>
      </c>
    </row>
    <row r="16" spans="1:9" x14ac:dyDescent="0.3">
      <c r="A16">
        <v>0.40612699591172102</v>
      </c>
      <c r="B16">
        <v>104.071856900862</v>
      </c>
      <c r="D16">
        <f t="shared" si="0"/>
        <v>10.315625696157714</v>
      </c>
      <c r="G16">
        <f t="shared" si="1"/>
        <v>462.93468340671194</v>
      </c>
      <c r="I16">
        <f t="shared" si="2"/>
        <v>2.9878393202360245</v>
      </c>
    </row>
    <row r="17" spans="1:9" x14ac:dyDescent="0.3">
      <c r="A17">
        <v>0.435773005215144</v>
      </c>
      <c r="B17">
        <v>107.42369257973399</v>
      </c>
      <c r="D17">
        <f t="shared" si="0"/>
        <v>11.068634332464658</v>
      </c>
      <c r="G17">
        <f t="shared" si="1"/>
        <v>477.84439132427178</v>
      </c>
      <c r="I17">
        <f t="shared" si="2"/>
        <v>2.0190566430773016</v>
      </c>
    </row>
    <row r="18" spans="1:9" x14ac:dyDescent="0.3">
      <c r="A18">
        <v>0.46542363299641398</v>
      </c>
      <c r="B18">
        <v>113.00314467480101</v>
      </c>
      <c r="D18">
        <f t="shared" si="0"/>
        <v>11.821760278108915</v>
      </c>
      <c r="G18">
        <f t="shared" si="1"/>
        <v>502.66303073485932</v>
      </c>
      <c r="I18">
        <f t="shared" si="2"/>
        <v>3.3603900034780425</v>
      </c>
    </row>
    <row r="19" spans="1:9" x14ac:dyDescent="0.3">
      <c r="A19">
        <v>0.49803816893635</v>
      </c>
      <c r="B19">
        <v>118.583637875327</v>
      </c>
      <c r="D19">
        <f t="shared" si="0"/>
        <v>12.65016949098329</v>
      </c>
      <c r="G19">
        <f t="shared" si="1"/>
        <v>527.48630121325334</v>
      </c>
      <c r="I19">
        <f t="shared" si="2"/>
        <v>3.0555782061049261</v>
      </c>
    </row>
    <row r="20" spans="1:9" x14ac:dyDescent="0.3">
      <c r="A20">
        <v>0.52768417823977298</v>
      </c>
      <c r="B20">
        <v>121.935473554198</v>
      </c>
      <c r="D20">
        <f t="shared" si="0"/>
        <v>13.403178127290234</v>
      </c>
      <c r="G20">
        <f t="shared" si="1"/>
        <v>542.39600913080869</v>
      </c>
      <c r="I20">
        <f t="shared" si="2"/>
        <v>2.0190566430766932</v>
      </c>
    </row>
    <row r="21" spans="1:9" x14ac:dyDescent="0.3">
      <c r="A21">
        <v>0.55436858862345495</v>
      </c>
      <c r="B21">
        <v>126.40007633571</v>
      </c>
      <c r="D21">
        <f t="shared" si="0"/>
        <v>14.080962151035756</v>
      </c>
      <c r="G21">
        <f t="shared" si="1"/>
        <v>562.25555172708243</v>
      </c>
      <c r="I21">
        <f t="shared" si="2"/>
        <v>2.9878393202359561</v>
      </c>
    </row>
    <row r="22" spans="1:9" x14ac:dyDescent="0.3">
      <c r="A22">
        <v>0.58401690716580201</v>
      </c>
      <c r="B22">
        <v>130.86572022268001</v>
      </c>
      <c r="D22">
        <f t="shared" si="0"/>
        <v>14.834029442011371</v>
      </c>
      <c r="G22">
        <f t="shared" si="1"/>
        <v>582.11972539115834</v>
      </c>
      <c r="I22">
        <f t="shared" si="2"/>
        <v>2.6897755599536839</v>
      </c>
    </row>
    <row r="23" spans="1:9" x14ac:dyDescent="0.3">
      <c r="A23">
        <v>0.61070362678840795</v>
      </c>
      <c r="B23">
        <v>136.44413121228999</v>
      </c>
      <c r="D23">
        <f t="shared" si="0"/>
        <v>15.511872120425561</v>
      </c>
      <c r="G23">
        <f t="shared" si="1"/>
        <v>606.9337337339482</v>
      </c>
      <c r="I23">
        <f t="shared" si="2"/>
        <v>3.7329084493925948</v>
      </c>
    </row>
    <row r="24" spans="1:9" x14ac:dyDescent="0.3">
      <c r="A24">
        <v>0.64331354425049603</v>
      </c>
      <c r="B24">
        <v>139.79700799661899</v>
      </c>
      <c r="D24">
        <f t="shared" si="0"/>
        <v>16.3401640239626</v>
      </c>
      <c r="G24">
        <f t="shared" si="1"/>
        <v>621.84807271930549</v>
      </c>
      <c r="I24">
        <f t="shared" si="2"/>
        <v>1.8361151671619029</v>
      </c>
    </row>
    <row r="25" spans="1:9" x14ac:dyDescent="0.3">
      <c r="A25">
        <v>0.68185820574668599</v>
      </c>
      <c r="B25">
        <v>146.49339161615899</v>
      </c>
      <c r="D25">
        <f t="shared" si="0"/>
        <v>17.319198425965826</v>
      </c>
      <c r="G25">
        <f t="shared" si="1"/>
        <v>651.63507107981968</v>
      </c>
      <c r="I25">
        <f t="shared" si="2"/>
        <v>3.1024737335086217</v>
      </c>
    </row>
    <row r="26" spans="1:9" x14ac:dyDescent="0.3">
      <c r="A26">
        <v>0.72336446616261696</v>
      </c>
      <c r="B26">
        <v>152.07700813305701</v>
      </c>
      <c r="D26">
        <f t="shared" si="0"/>
        <v>18.373457440530469</v>
      </c>
      <c r="G26">
        <f t="shared" si="1"/>
        <v>676.47223476161105</v>
      </c>
      <c r="I26">
        <f t="shared" si="2"/>
        <v>2.4023373896563722</v>
      </c>
    </row>
    <row r="27" spans="1:9" x14ac:dyDescent="0.3">
      <c r="A27">
        <v>0.75894521950014204</v>
      </c>
      <c r="B27">
        <v>158.77235064713801</v>
      </c>
      <c r="D27">
        <f t="shared" si="0"/>
        <v>19.277208575303607</v>
      </c>
      <c r="G27">
        <f t="shared" si="1"/>
        <v>706.25460205431875</v>
      </c>
      <c r="I27">
        <f t="shared" si="2"/>
        <v>3.3603900034782312</v>
      </c>
    </row>
    <row r="28" spans="1:9" x14ac:dyDescent="0.3">
      <c r="A28">
        <v>0.79748526251848395</v>
      </c>
      <c r="B28">
        <v>163.241117850481</v>
      </c>
      <c r="D28">
        <f t="shared" si="0"/>
        <v>20.256125667969492</v>
      </c>
      <c r="G28">
        <f t="shared" si="1"/>
        <v>726.13266892179627</v>
      </c>
      <c r="I28">
        <f t="shared" si="2"/>
        <v>2.0706541155824492</v>
      </c>
    </row>
    <row r="29" spans="1:9" x14ac:dyDescent="0.3">
      <c r="A29">
        <v>0.83899614141226297</v>
      </c>
      <c r="B29">
        <v>171.052350783576</v>
      </c>
      <c r="D29">
        <f t="shared" si="0"/>
        <v>21.31050199187148</v>
      </c>
      <c r="G29">
        <f t="shared" si="1"/>
        <v>760.87876409662408</v>
      </c>
      <c r="I29">
        <f t="shared" si="2"/>
        <v>3.3603900034784631</v>
      </c>
    </row>
    <row r="30" spans="1:9" x14ac:dyDescent="0.3">
      <c r="A30">
        <v>0.87753618443060499</v>
      </c>
      <c r="B30">
        <v>175.52111798691899</v>
      </c>
      <c r="D30">
        <f t="shared" si="0"/>
        <v>22.289419084537364</v>
      </c>
      <c r="G30">
        <f t="shared" si="1"/>
        <v>780.75683096410171</v>
      </c>
      <c r="I30">
        <f t="shared" si="2"/>
        <v>2.0706541155824607</v>
      </c>
    </row>
    <row r="31" spans="1:9" x14ac:dyDescent="0.3">
      <c r="A31">
        <v>0.90422059481428696</v>
      </c>
      <c r="B31">
        <v>179.985720768432</v>
      </c>
      <c r="D31">
        <f t="shared" si="0"/>
        <v>22.967203108282888</v>
      </c>
      <c r="G31">
        <f t="shared" si="1"/>
        <v>800.61637356037988</v>
      </c>
      <c r="I31">
        <f t="shared" si="2"/>
        <v>2.9878393202366151</v>
      </c>
    </row>
    <row r="32" spans="1:9" x14ac:dyDescent="0.3">
      <c r="A32">
        <v>0.93683513075422298</v>
      </c>
      <c r="B32">
        <v>185.56621396895699</v>
      </c>
      <c r="D32">
        <f t="shared" si="0"/>
        <v>23.795612321157265</v>
      </c>
      <c r="G32">
        <f t="shared" si="1"/>
        <v>825.43964403876942</v>
      </c>
      <c r="I32">
        <f t="shared" si="2"/>
        <v>3.055578206104367</v>
      </c>
    </row>
    <row r="33" spans="1:9" x14ac:dyDescent="0.3">
      <c r="A33">
        <v>0.96351723189898097</v>
      </c>
      <c r="B33">
        <v>188.91700854237101</v>
      </c>
      <c r="D33">
        <f t="shared" si="0"/>
        <v>24.473337690234114</v>
      </c>
      <c r="G33">
        <f t="shared" si="1"/>
        <v>840.34472088852738</v>
      </c>
      <c r="I33">
        <f t="shared" si="2"/>
        <v>2.2426412250264627</v>
      </c>
    </row>
    <row r="34" spans="1:9" x14ac:dyDescent="0.3">
      <c r="A34">
        <v>0.99909567599758198</v>
      </c>
      <c r="B34">
        <v>194.49854284835399</v>
      </c>
      <c r="D34">
        <f t="shared" si="0"/>
        <v>25.377030170338582</v>
      </c>
      <c r="G34">
        <f t="shared" si="1"/>
        <v>865.17262243471873</v>
      </c>
      <c r="I34">
        <f t="shared" si="2"/>
        <v>2.8015518883087736</v>
      </c>
    </row>
    <row r="35" spans="1:9" x14ac:dyDescent="0.3">
      <c r="A35">
        <v>1.04357046305003</v>
      </c>
      <c r="B35">
        <v>202.310816886906</v>
      </c>
      <c r="D35">
        <f t="shared" si="0"/>
        <v>26.50668976147076</v>
      </c>
      <c r="G35">
        <f t="shared" si="1"/>
        <v>899.92334867734428</v>
      </c>
      <c r="I35">
        <f t="shared" si="2"/>
        <v>3.1368634622796372</v>
      </c>
    </row>
    <row r="36" spans="1:9" x14ac:dyDescent="0.3">
      <c r="A36">
        <v>1.09693466533954</v>
      </c>
      <c r="B36">
        <v>209.012406033735</v>
      </c>
      <c r="D36">
        <f t="shared" si="0"/>
        <v>27.862140499624317</v>
      </c>
      <c r="G36">
        <f t="shared" si="1"/>
        <v>929.73350237686429</v>
      </c>
      <c r="I36">
        <f t="shared" si="2"/>
        <v>2.2426412250270058</v>
      </c>
    </row>
    <row r="37" spans="1:9" x14ac:dyDescent="0.3">
      <c r="A37">
        <v>1.1384455442333199</v>
      </c>
      <c r="B37">
        <v>216.82363896682901</v>
      </c>
      <c r="D37">
        <f t="shared" si="0"/>
        <v>28.916516823526322</v>
      </c>
      <c r="G37">
        <f t="shared" si="1"/>
        <v>964.47959755168768</v>
      </c>
      <c r="I37">
        <f t="shared" si="2"/>
        <v>3.3603900034779777</v>
      </c>
    </row>
    <row r="38" spans="1:9" x14ac:dyDescent="0.3">
      <c r="A38">
        <v>1.1799471861713999</v>
      </c>
      <c r="B38">
        <v>220.17963906753201</v>
      </c>
      <c r="D38">
        <f t="shared" si="0"/>
        <v>29.970658528753564</v>
      </c>
      <c r="G38">
        <f t="shared" si="1"/>
        <v>979.40782974045112</v>
      </c>
      <c r="I38">
        <f t="shared" si="2"/>
        <v>1.4440715435596527</v>
      </c>
    </row>
    <row r="39" spans="1:9" x14ac:dyDescent="0.3">
      <c r="A39">
        <v>1.2184918476675899</v>
      </c>
      <c r="B39">
        <v>226.87602268707101</v>
      </c>
      <c r="D39">
        <f t="shared" si="0"/>
        <v>30.949692930756786</v>
      </c>
      <c r="G39">
        <f t="shared" si="1"/>
        <v>1009.1948281009609</v>
      </c>
      <c r="I39">
        <f t="shared" si="2"/>
        <v>3.1024737335081713</v>
      </c>
    </row>
    <row r="40" spans="1:9" x14ac:dyDescent="0.3">
      <c r="A40">
        <v>1.26888521408167</v>
      </c>
      <c r="B40">
        <v>230.23514610414699</v>
      </c>
      <c r="D40">
        <f t="shared" si="0"/>
        <v>32.229684437674415</v>
      </c>
      <c r="G40">
        <f t="shared" si="1"/>
        <v>1024.1369534931259</v>
      </c>
      <c r="I40">
        <f t="shared" si="2"/>
        <v>1.1903772358171139</v>
      </c>
    </row>
    <row r="41" spans="1:9" x14ac:dyDescent="0.3">
      <c r="A41">
        <v>1.3074275663389401</v>
      </c>
      <c r="B41">
        <v>235.817721515589</v>
      </c>
      <c r="D41">
        <f t="shared" si="0"/>
        <v>33.20866018500908</v>
      </c>
      <c r="G41">
        <f t="shared" si="1"/>
        <v>1048.9694861071241</v>
      </c>
      <c r="I41">
        <f t="shared" si="2"/>
        <v>2.5865948349321757</v>
      </c>
    </row>
    <row r="42" spans="1:9" x14ac:dyDescent="0.3">
      <c r="A42">
        <v>1.35189311643569</v>
      </c>
      <c r="B42">
        <v>239.174762721749</v>
      </c>
      <c r="D42">
        <f t="shared" si="0"/>
        <v>34.338085157466523</v>
      </c>
      <c r="G42">
        <f t="shared" si="1"/>
        <v>1063.9023493636853</v>
      </c>
      <c r="I42">
        <f t="shared" si="2"/>
        <v>1.3482332284335592</v>
      </c>
    </row>
    <row r="43" spans="1:9" x14ac:dyDescent="0.3">
      <c r="A43">
        <v>1.39043315945403</v>
      </c>
      <c r="B43">
        <v>243.643529925092</v>
      </c>
      <c r="D43">
        <f t="shared" si="0"/>
        <v>35.317002250132369</v>
      </c>
      <c r="G43">
        <f t="shared" si="1"/>
        <v>1083.7804162311627</v>
      </c>
      <c r="I43">
        <f t="shared" si="2"/>
        <v>2.0706541155825198</v>
      </c>
    </row>
    <row r="44" spans="1:9" x14ac:dyDescent="0.3">
      <c r="A44">
        <v>1.44082883510703</v>
      </c>
      <c r="B44">
        <v>248.11646155026699</v>
      </c>
      <c r="D44">
        <f t="shared" si="0"/>
        <v>36.597052411718558</v>
      </c>
      <c r="G44">
        <f t="shared" si="1"/>
        <v>1103.6770073698483</v>
      </c>
      <c r="I44">
        <f t="shared" si="2"/>
        <v>1.5850063674043444</v>
      </c>
    </row>
    <row r="45" spans="1:9" x14ac:dyDescent="0.3">
      <c r="A45">
        <v>1.48529900368163</v>
      </c>
      <c r="B45">
        <v>253.70111917262301</v>
      </c>
      <c r="D45">
        <f t="shared" si="0"/>
        <v>37.726594693513405</v>
      </c>
      <c r="G45">
        <f t="shared" si="1"/>
        <v>1128.5188021194417</v>
      </c>
      <c r="I45">
        <f t="shared" si="2"/>
        <v>2.24264122502598</v>
      </c>
    </row>
    <row r="46" spans="1:9" x14ac:dyDescent="0.3">
      <c r="A46">
        <v>1.53569467933463</v>
      </c>
      <c r="B46">
        <v>258.17405079779797</v>
      </c>
      <c r="D46">
        <f t="shared" si="0"/>
        <v>39.006644855099601</v>
      </c>
      <c r="G46">
        <f t="shared" si="1"/>
        <v>1148.4153932581273</v>
      </c>
      <c r="I46">
        <f t="shared" si="2"/>
        <v>1.5850063674043355</v>
      </c>
    </row>
    <row r="47" spans="1:9" x14ac:dyDescent="0.3">
      <c r="A47">
        <v>1.57423472235298</v>
      </c>
      <c r="B47">
        <v>262.64281800114099</v>
      </c>
      <c r="D47">
        <f t="shared" si="0"/>
        <v>39.985561947765689</v>
      </c>
      <c r="G47">
        <f t="shared" si="1"/>
        <v>1168.293460125605</v>
      </c>
      <c r="I47">
        <f t="shared" si="2"/>
        <v>2.0706541155820326</v>
      </c>
    </row>
    <row r="48" spans="1:9" x14ac:dyDescent="0.3">
      <c r="A48">
        <v>1.61277476537132</v>
      </c>
      <c r="B48">
        <v>267.11158520448402</v>
      </c>
      <c r="D48">
        <f t="shared" si="0"/>
        <v>40.964479040431534</v>
      </c>
      <c r="G48">
        <f t="shared" si="1"/>
        <v>1188.1715269930826</v>
      </c>
      <c r="I48">
        <f t="shared" si="2"/>
        <v>2.0706541155825438</v>
      </c>
    </row>
    <row r="49" spans="1:9" x14ac:dyDescent="0.3">
      <c r="A49">
        <v>1.6661343491829901</v>
      </c>
      <c r="B49">
        <v>271.58555793511601</v>
      </c>
      <c r="D49">
        <f t="shared" si="0"/>
        <v>42.31981246924795</v>
      </c>
      <c r="G49">
        <f t="shared" si="1"/>
        <v>1208.072749199566</v>
      </c>
      <c r="I49">
        <f t="shared" si="2"/>
        <v>1.4973141302763808</v>
      </c>
    </row>
    <row r="50" spans="1:9" x14ac:dyDescent="0.3">
      <c r="A50">
        <v>1.71356842591625</v>
      </c>
      <c r="B50">
        <v>277.17125666292998</v>
      </c>
      <c r="D50">
        <f t="shared" si="0"/>
        <v>43.524638018272746</v>
      </c>
      <c r="G50">
        <f t="shared" si="1"/>
        <v>1232.9191750169612</v>
      </c>
      <c r="I50">
        <f t="shared" si="2"/>
        <v>2.1029022219074585</v>
      </c>
    </row>
    <row r="51" spans="1:9" x14ac:dyDescent="0.3">
      <c r="A51">
        <v>1.7639687200470999</v>
      </c>
      <c r="B51">
        <v>283.87180470430002</v>
      </c>
      <c r="D51">
        <f t="shared" si="0"/>
        <v>44.80480548919634</v>
      </c>
      <c r="G51">
        <f t="shared" si="1"/>
        <v>1262.7246976486747</v>
      </c>
      <c r="I51">
        <f t="shared" si="2"/>
        <v>2.3741561439544538</v>
      </c>
    </row>
    <row r="52" spans="1:9" x14ac:dyDescent="0.3">
      <c r="A52">
        <v>1.8143643957001001</v>
      </c>
      <c r="B52">
        <v>288.34473632947498</v>
      </c>
      <c r="D52">
        <f t="shared" si="0"/>
        <v>46.084855650782544</v>
      </c>
      <c r="G52">
        <f t="shared" si="1"/>
        <v>1282.6212887873603</v>
      </c>
      <c r="I52">
        <f t="shared" si="2"/>
        <v>1.5850063674043269</v>
      </c>
    </row>
    <row r="53" spans="1:9" x14ac:dyDescent="0.3">
      <c r="A53">
        <v>1.8529044387184399</v>
      </c>
      <c r="B53">
        <v>292.813503532818</v>
      </c>
      <c r="D53">
        <f t="shared" si="0"/>
        <v>47.063772743448368</v>
      </c>
      <c r="G53">
        <f t="shared" si="1"/>
        <v>1302.4993556548377</v>
      </c>
      <c r="I53">
        <f t="shared" si="2"/>
        <v>2.0706541155825651</v>
      </c>
    </row>
    <row r="54" spans="1:9" x14ac:dyDescent="0.3">
      <c r="A54">
        <v>1.90033620621278</v>
      </c>
      <c r="B54">
        <v>297.285394052534</v>
      </c>
      <c r="D54">
        <f t="shared" si="0"/>
        <v>48.268539637804608</v>
      </c>
      <c r="G54">
        <f t="shared" si="1"/>
        <v>1322.391315725717</v>
      </c>
      <c r="I54">
        <f t="shared" si="2"/>
        <v>1.6836579995023826</v>
      </c>
    </row>
    <row r="55" spans="1:9" x14ac:dyDescent="0.3">
      <c r="A55">
        <v>1.94184477586764</v>
      </c>
      <c r="B55">
        <v>303.98281877753101</v>
      </c>
      <c r="D55">
        <f t="shared" si="0"/>
        <v>49.322857307038056</v>
      </c>
      <c r="G55">
        <f t="shared" si="1"/>
        <v>1352.1829451540289</v>
      </c>
      <c r="I55">
        <f t="shared" si="2"/>
        <v>2.8813903461531916</v>
      </c>
    </row>
    <row r="56" spans="1:9" x14ac:dyDescent="0.3">
      <c r="A56">
        <v>1.9892765433619799</v>
      </c>
      <c r="B56">
        <v>308.45470929724797</v>
      </c>
      <c r="D56">
        <f t="shared" si="0"/>
        <v>50.527624201394289</v>
      </c>
      <c r="G56">
        <f t="shared" si="1"/>
        <v>1372.0749052249125</v>
      </c>
      <c r="I56">
        <f t="shared" si="2"/>
        <v>1.6836579995027581</v>
      </c>
    </row>
    <row r="57" spans="1:9" x14ac:dyDescent="0.3">
      <c r="A57">
        <v>2.0456069630490799</v>
      </c>
      <c r="B57">
        <v>316.27114775763101</v>
      </c>
      <c r="D57">
        <f t="shared" si="0"/>
        <v>51.958416861446629</v>
      </c>
      <c r="G57">
        <f t="shared" si="1"/>
        <v>1406.8441557387418</v>
      </c>
      <c r="I57">
        <f t="shared" si="2"/>
        <v>2.4779808739545772</v>
      </c>
    </row>
    <row r="58" spans="1:9" x14ac:dyDescent="0.3">
      <c r="A58">
        <v>2.1049105278505502</v>
      </c>
      <c r="B58">
        <v>328.54386015586499</v>
      </c>
      <c r="D58">
        <f t="shared" si="0"/>
        <v>53.464727407403977</v>
      </c>
      <c r="G58">
        <f t="shared" si="1"/>
        <v>1461.4359003064415</v>
      </c>
      <c r="I58">
        <f t="shared" si="2"/>
        <v>3.6956580553615348</v>
      </c>
    </row>
    <row r="59" spans="1:9" x14ac:dyDescent="0.3">
      <c r="A59">
        <v>2.1553154404592401</v>
      </c>
      <c r="B59">
        <v>337.47202461343102</v>
      </c>
      <c r="D59">
        <f t="shared" si="0"/>
        <v>54.745012187664699</v>
      </c>
      <c r="G59">
        <f t="shared" si="1"/>
        <v>1501.1503544311875</v>
      </c>
      <c r="I59">
        <f t="shared" si="2"/>
        <v>3.1631613048094351</v>
      </c>
    </row>
    <row r="60" spans="1:9" x14ac:dyDescent="0.3">
      <c r="A60">
        <v>2.1938647204332802</v>
      </c>
      <c r="B60">
        <v>346.39602464916601</v>
      </c>
      <c r="D60">
        <f t="shared" si="0"/>
        <v>55.724163899005312</v>
      </c>
      <c r="G60">
        <f t="shared" si="1"/>
        <v>1540.8462842847293</v>
      </c>
      <c r="I60">
        <f t="shared" si="2"/>
        <v>4.1340461127795676</v>
      </c>
    </row>
    <row r="61" spans="1:9" x14ac:dyDescent="0.3">
      <c r="A61">
        <v>2.2294524014875798</v>
      </c>
      <c r="B61">
        <v>356.43279178754102</v>
      </c>
      <c r="D61">
        <f t="shared" si="0"/>
        <v>56.628090997784533</v>
      </c>
      <c r="G61">
        <f t="shared" si="1"/>
        <v>1585.4920488169853</v>
      </c>
      <c r="I61">
        <f t="shared" si="2"/>
        <v>5.0364692015341195</v>
      </c>
    </row>
    <row r="62" spans="1:9" x14ac:dyDescent="0.3">
      <c r="A62">
        <v>2.2650377733029501</v>
      </c>
      <c r="B62">
        <v>365.35575071781801</v>
      </c>
      <c r="D62">
        <f t="shared" si="0"/>
        <v>57.531959441894941</v>
      </c>
      <c r="G62">
        <f t="shared" si="1"/>
        <v>1625.183347602725</v>
      </c>
      <c r="I62">
        <f t="shared" si="2"/>
        <v>4.4778486459724265</v>
      </c>
    </row>
    <row r="63" spans="1:9" x14ac:dyDescent="0.3">
      <c r="A63">
        <v>2.2976546184818099</v>
      </c>
      <c r="B63">
        <v>372.05005212644102</v>
      </c>
      <c r="D63">
        <f t="shared" si="0"/>
        <v>58.360427309437966</v>
      </c>
      <c r="G63">
        <f t="shared" si="1"/>
        <v>1654.9610838276305</v>
      </c>
      <c r="I63">
        <f t="shared" si="2"/>
        <v>3.665180220491699</v>
      </c>
    </row>
    <row r="64" spans="1:9" x14ac:dyDescent="0.3">
      <c r="A64">
        <v>2.33917242509236</v>
      </c>
      <c r="B64">
        <v>383.20270968382999</v>
      </c>
      <c r="D64">
        <f t="shared" si="0"/>
        <v>59.414979597345948</v>
      </c>
      <c r="G64">
        <f t="shared" si="1"/>
        <v>1704.5705762420066</v>
      </c>
      <c r="I64">
        <f t="shared" si="2"/>
        <v>4.7970692693579391</v>
      </c>
    </row>
    <row r="65" spans="1:9" x14ac:dyDescent="0.3">
      <c r="A65">
        <v>2.38365413986158</v>
      </c>
      <c r="B65">
        <v>394.35640834667601</v>
      </c>
      <c r="D65">
        <f t="shared" si="0"/>
        <v>60.544815152484134</v>
      </c>
      <c r="G65">
        <f t="shared" si="1"/>
        <v>1754.1846997241803</v>
      </c>
      <c r="I65">
        <f t="shared" si="2"/>
        <v>4.4778486459716431</v>
      </c>
    </row>
    <row r="66" spans="1:9" x14ac:dyDescent="0.3">
      <c r="A66">
        <v>2.41627560351828</v>
      </c>
      <c r="B66">
        <v>403.278326171495</v>
      </c>
      <c r="D66">
        <f t="shared" ref="D66:D129" si="3">CONVERT($A66,"in","mm")</f>
        <v>61.373400329364308</v>
      </c>
      <c r="G66">
        <f t="shared" ref="G66:G129" si="4">CONVERT($B66,"lbf","N")</f>
        <v>1793.8713674421183</v>
      </c>
      <c r="I66">
        <f t="shared" si="2"/>
        <v>4.8841253307747206</v>
      </c>
    </row>
    <row r="67" spans="1:9" x14ac:dyDescent="0.3">
      <c r="A67">
        <v>2.4607619367653499</v>
      </c>
      <c r="B67">
        <v>416.65964125053802</v>
      </c>
      <c r="D67">
        <f t="shared" si="3"/>
        <v>62.503353193839885</v>
      </c>
      <c r="G67">
        <f t="shared" si="4"/>
        <v>1853.3944224173288</v>
      </c>
      <c r="I67">
        <f t="shared" ref="I67:I130" si="5">(G67-G66)/(D67-D66)/9.80665</f>
        <v>5.3716067379827042</v>
      </c>
    </row>
    <row r="68" spans="1:9" x14ac:dyDescent="0.3">
      <c r="A68">
        <v>2.4767421979435098</v>
      </c>
      <c r="B68">
        <v>417.68175060490199</v>
      </c>
      <c r="D68">
        <f t="shared" si="3"/>
        <v>62.909251827765161</v>
      </c>
      <c r="G68">
        <f t="shared" si="4"/>
        <v>1857.9409913405705</v>
      </c>
      <c r="I68">
        <f t="shared" si="5"/>
        <v>1.1422088317017265</v>
      </c>
    </row>
    <row r="69" spans="1:9" x14ac:dyDescent="0.3">
      <c r="A69">
        <v>2.50035486409352</v>
      </c>
      <c r="B69">
        <v>424.78434824662497</v>
      </c>
      <c r="D69">
        <f t="shared" si="3"/>
        <v>63.509013547975407</v>
      </c>
      <c r="G69">
        <f t="shared" si="4"/>
        <v>1889.534919694981</v>
      </c>
      <c r="I69">
        <f t="shared" si="5"/>
        <v>5.3716067379828623</v>
      </c>
    </row>
    <row r="70" spans="1:9" x14ac:dyDescent="0.3">
      <c r="A70">
        <v>2.5263273260080301</v>
      </c>
      <c r="B70">
        <v>431.88777479265701</v>
      </c>
      <c r="D70">
        <f t="shared" si="3"/>
        <v>64.168714080603976</v>
      </c>
      <c r="G70">
        <f t="shared" si="4"/>
        <v>1921.132535199456</v>
      </c>
      <c r="I70">
        <f t="shared" si="5"/>
        <v>4.8841253307729335</v>
      </c>
    </row>
    <row r="71" spans="1:9" x14ac:dyDescent="0.3">
      <c r="A71">
        <v>2.5499381535949102</v>
      </c>
      <c r="B71">
        <v>438.103583859553</v>
      </c>
      <c r="D71">
        <f t="shared" si="3"/>
        <v>64.768429101310716</v>
      </c>
      <c r="G71">
        <f t="shared" si="4"/>
        <v>1948.7818314471549</v>
      </c>
      <c r="I71">
        <f t="shared" si="5"/>
        <v>4.7013055680983911</v>
      </c>
    </row>
    <row r="72" spans="1:9" x14ac:dyDescent="0.3">
      <c r="A72">
        <v>2.5711891854172899</v>
      </c>
      <c r="B72">
        <v>444.31856402213702</v>
      </c>
      <c r="D72">
        <f t="shared" si="3"/>
        <v>65.30820530959916</v>
      </c>
      <c r="G72">
        <f t="shared" si="4"/>
        <v>1976.4274405447763</v>
      </c>
      <c r="I72">
        <f t="shared" si="5"/>
        <v>5.2226599434390506</v>
      </c>
    </row>
    <row r="73" spans="1:9" x14ac:dyDescent="0.3">
      <c r="A73">
        <v>2.5924420558027901</v>
      </c>
      <c r="B73">
        <v>451.42033275954799</v>
      </c>
      <c r="D73">
        <f t="shared" si="3"/>
        <v>65.848028217390876</v>
      </c>
      <c r="G73">
        <f t="shared" si="4"/>
        <v>2008.017681749109</v>
      </c>
      <c r="I73">
        <f t="shared" si="5"/>
        <v>5.9673423752462131</v>
      </c>
    </row>
    <row r="74" spans="1:9" x14ac:dyDescent="0.3">
      <c r="A74">
        <v>2.61133329186067</v>
      </c>
      <c r="B74">
        <v>457.63448401782199</v>
      </c>
      <c r="D74">
        <f t="shared" si="3"/>
        <v>66.327865613261025</v>
      </c>
      <c r="G74">
        <f t="shared" si="4"/>
        <v>2035.6596036966616</v>
      </c>
      <c r="I74">
        <f t="shared" si="5"/>
        <v>5.8742641174673382</v>
      </c>
    </row>
    <row r="75" spans="1:9" x14ac:dyDescent="0.3">
      <c r="A75">
        <v>2.6325861622461701</v>
      </c>
      <c r="B75">
        <v>464.73625275523301</v>
      </c>
      <c r="D75">
        <f t="shared" si="3"/>
        <v>66.867688521052727</v>
      </c>
      <c r="G75">
        <f t="shared" si="4"/>
        <v>2067.2498449009945</v>
      </c>
      <c r="I75">
        <f t="shared" si="5"/>
        <v>5.9673423752464139</v>
      </c>
    </row>
    <row r="76" spans="1:9" x14ac:dyDescent="0.3">
      <c r="A76">
        <v>2.6538371940685499</v>
      </c>
      <c r="B76">
        <v>470.95123291781698</v>
      </c>
      <c r="D76">
        <f t="shared" si="3"/>
        <v>67.407464729341172</v>
      </c>
      <c r="G76">
        <f t="shared" si="4"/>
        <v>2094.8954539986157</v>
      </c>
      <c r="I76">
        <f t="shared" si="5"/>
        <v>5.2226599434390071</v>
      </c>
    </row>
    <row r="77" spans="1:9" x14ac:dyDescent="0.3">
      <c r="A77">
        <v>2.6703686343619202</v>
      </c>
      <c r="B77">
        <v>477.16455527177999</v>
      </c>
      <c r="D77">
        <f t="shared" si="3"/>
        <v>67.827363312792784</v>
      </c>
      <c r="G77">
        <f t="shared" si="4"/>
        <v>2122.5336887960952</v>
      </c>
      <c r="I77">
        <f t="shared" si="5"/>
        <v>6.7118959748356373</v>
      </c>
    </row>
    <row r="78" spans="1:9" x14ac:dyDescent="0.3">
      <c r="A78">
        <v>2.6963410962764298</v>
      </c>
      <c r="B78">
        <v>484.26798181781299</v>
      </c>
      <c r="D78">
        <f t="shared" si="3"/>
        <v>68.487063845421318</v>
      </c>
      <c r="G78">
        <f t="shared" si="4"/>
        <v>2154.1313043005748</v>
      </c>
      <c r="I78">
        <f t="shared" si="5"/>
        <v>4.8841253307738999</v>
      </c>
    </row>
    <row r="79" spans="1:9" x14ac:dyDescent="0.3">
      <c r="A79">
        <v>2.7223172353171798</v>
      </c>
      <c r="B79">
        <v>493.14498551349902</v>
      </c>
      <c r="D79">
        <f t="shared" si="3"/>
        <v>69.146857777056368</v>
      </c>
      <c r="G79">
        <f t="shared" si="4"/>
        <v>2193.6181840184722</v>
      </c>
      <c r="I79">
        <f t="shared" si="5"/>
        <v>6.1027253385714948</v>
      </c>
    </row>
    <row r="80" spans="1:9" x14ac:dyDescent="0.3">
      <c r="A80">
        <v>2.7459299014671799</v>
      </c>
      <c r="B80">
        <v>500.24758315522098</v>
      </c>
      <c r="D80">
        <f t="shared" si="3"/>
        <v>69.746619497266366</v>
      </c>
      <c r="G80">
        <f t="shared" si="4"/>
        <v>2225.2121123728784</v>
      </c>
      <c r="I80">
        <f t="shared" si="5"/>
        <v>5.3716067379843553</v>
      </c>
    </row>
    <row r="81" spans="1:9" x14ac:dyDescent="0.3">
      <c r="A81">
        <v>2.7648248146513001</v>
      </c>
      <c r="B81">
        <v>508.235311563148</v>
      </c>
      <c r="D81">
        <f t="shared" si="3"/>
        <v>70.226550292143017</v>
      </c>
      <c r="G81">
        <f t="shared" si="4"/>
        <v>2260.7432985338496</v>
      </c>
      <c r="I81">
        <f t="shared" si="5"/>
        <v>7.5493648212324773</v>
      </c>
    </row>
    <row r="82" spans="1:9" x14ac:dyDescent="0.3">
      <c r="A82">
        <v>2.7907972765658098</v>
      </c>
      <c r="B82">
        <v>515.33873810918101</v>
      </c>
      <c r="D82">
        <f t="shared" si="3"/>
        <v>70.886250824771565</v>
      </c>
      <c r="G82">
        <f t="shared" si="4"/>
        <v>2292.3409140383292</v>
      </c>
      <c r="I82">
        <f t="shared" si="5"/>
        <v>4.8841253307737942</v>
      </c>
    </row>
    <row r="83" spans="1:9" x14ac:dyDescent="0.3">
      <c r="A83">
        <v>2.8144081041526898</v>
      </c>
      <c r="B83">
        <v>521.55454717607597</v>
      </c>
      <c r="D83">
        <f t="shared" si="3"/>
        <v>71.485965845478319</v>
      </c>
      <c r="G83">
        <f t="shared" si="4"/>
        <v>2319.9902102860233</v>
      </c>
      <c r="I83">
        <f t="shared" si="5"/>
        <v>4.7013055680974682</v>
      </c>
    </row>
    <row r="84" spans="1:9" x14ac:dyDescent="0.3">
      <c r="A84">
        <v>2.83802260886582</v>
      </c>
      <c r="B84">
        <v>529.54393339262504</v>
      </c>
      <c r="D84">
        <f t="shared" si="3"/>
        <v>72.08577426519183</v>
      </c>
      <c r="G84">
        <f t="shared" si="4"/>
        <v>2355.5287707471412</v>
      </c>
      <c r="I84">
        <f t="shared" si="5"/>
        <v>6.0418035321023549</v>
      </c>
    </row>
    <row r="85" spans="1:9" x14ac:dyDescent="0.3">
      <c r="A85">
        <v>2.8569156834868101</v>
      </c>
      <c r="B85">
        <v>536.64487322572495</v>
      </c>
      <c r="D85">
        <f t="shared" si="3"/>
        <v>72.565658360564981</v>
      </c>
      <c r="G85">
        <f t="shared" si="4"/>
        <v>2387.1153248014007</v>
      </c>
      <c r="I85">
        <f t="shared" si="5"/>
        <v>6.7118959748367191</v>
      </c>
    </row>
    <row r="86" spans="1:9" x14ac:dyDescent="0.3">
      <c r="A86">
        <v>2.8828863068381998</v>
      </c>
      <c r="B86">
        <v>542.86151119693102</v>
      </c>
      <c r="D86">
        <f t="shared" si="3"/>
        <v>73.225312193690272</v>
      </c>
      <c r="G86">
        <f t="shared" si="4"/>
        <v>2414.7683081991686</v>
      </c>
      <c r="I86">
        <f t="shared" si="5"/>
        <v>4.274695922604856</v>
      </c>
    </row>
    <row r="87" spans="1:9" x14ac:dyDescent="0.3">
      <c r="A87">
        <v>2.9064971344250901</v>
      </c>
      <c r="B87">
        <v>549.077320263827</v>
      </c>
      <c r="D87">
        <f t="shared" si="3"/>
        <v>73.825027214397295</v>
      </c>
      <c r="G87">
        <f t="shared" si="4"/>
        <v>2442.4176044468672</v>
      </c>
      <c r="I87">
        <f t="shared" si="5"/>
        <v>4.7013055680961244</v>
      </c>
    </row>
    <row r="88" spans="1:9" x14ac:dyDescent="0.3">
      <c r="A88">
        <v>2.9277536819368302</v>
      </c>
      <c r="B88">
        <v>557.95266615089099</v>
      </c>
      <c r="D88">
        <f t="shared" si="3"/>
        <v>74.364943521195485</v>
      </c>
      <c r="G88">
        <f t="shared" si="4"/>
        <v>2481.8971098646189</v>
      </c>
      <c r="I88">
        <f t="shared" si="5"/>
        <v>7.4563207756343752</v>
      </c>
    </row>
    <row r="89" spans="1:9" x14ac:dyDescent="0.3">
      <c r="A89">
        <v>2.9490065523223299</v>
      </c>
      <c r="B89">
        <v>565.05443488830201</v>
      </c>
      <c r="D89">
        <f t="shared" si="3"/>
        <v>74.904766428987173</v>
      </c>
      <c r="G89">
        <f t="shared" si="4"/>
        <v>2513.4873510689517</v>
      </c>
      <c r="I89">
        <f t="shared" si="5"/>
        <v>5.9673423752465711</v>
      </c>
    </row>
    <row r="90" spans="1:9" x14ac:dyDescent="0.3">
      <c r="A90">
        <v>2.9749826913630701</v>
      </c>
      <c r="B90">
        <v>573.93143858398798</v>
      </c>
      <c r="D90">
        <f t="shared" si="3"/>
        <v>75.564560360621982</v>
      </c>
      <c r="G90">
        <f t="shared" si="4"/>
        <v>2552.9742307868496</v>
      </c>
      <c r="I90">
        <f t="shared" si="5"/>
        <v>6.1027253385737996</v>
      </c>
    </row>
    <row r="91" spans="1:9" x14ac:dyDescent="0.3">
      <c r="A91">
        <v>2.9962337231854499</v>
      </c>
      <c r="B91">
        <v>580.14641874657298</v>
      </c>
      <c r="D91">
        <f t="shared" si="3"/>
        <v>76.104336568910426</v>
      </c>
      <c r="G91">
        <f t="shared" si="4"/>
        <v>2580.6198398844754</v>
      </c>
      <c r="I91">
        <f t="shared" si="5"/>
        <v>5.2226599434398659</v>
      </c>
    </row>
    <row r="92" spans="1:9" x14ac:dyDescent="0.3">
      <c r="A92">
        <v>3.0151267978064502</v>
      </c>
      <c r="B92">
        <v>587.247358579673</v>
      </c>
      <c r="D92">
        <f t="shared" si="3"/>
        <v>76.584220664283833</v>
      </c>
      <c r="G92">
        <f t="shared" si="4"/>
        <v>2612.2063939387353</v>
      </c>
      <c r="I92">
        <f t="shared" si="5"/>
        <v>6.7118959748332383</v>
      </c>
    </row>
    <row r="93" spans="1:9" x14ac:dyDescent="0.3">
      <c r="A93">
        <v>3.0387413025195702</v>
      </c>
      <c r="B93">
        <v>595.23674479622196</v>
      </c>
      <c r="D93">
        <f t="shared" si="3"/>
        <v>77.184029083997089</v>
      </c>
      <c r="G93">
        <f t="shared" si="4"/>
        <v>2647.7449543998523</v>
      </c>
      <c r="I93">
        <f t="shared" si="5"/>
        <v>6.0418035321047769</v>
      </c>
    </row>
    <row r="94" spans="1:9" x14ac:dyDescent="0.3">
      <c r="A94">
        <v>3.0694333559630902</v>
      </c>
      <c r="B94">
        <v>602.34182915087604</v>
      </c>
      <c r="D94">
        <f t="shared" si="3"/>
        <v>77.963607241462498</v>
      </c>
      <c r="G94">
        <f t="shared" si="4"/>
        <v>2679.349944204474</v>
      </c>
      <c r="I94">
        <f t="shared" si="5"/>
        <v>4.1340461127792576</v>
      </c>
    </row>
    <row r="95" spans="1:9" x14ac:dyDescent="0.3">
      <c r="A95">
        <v>3.1001290865328501</v>
      </c>
      <c r="B95">
        <v>611.22049065518399</v>
      </c>
      <c r="D95">
        <f t="shared" si="3"/>
        <v>78.74327879793438</v>
      </c>
      <c r="G95">
        <f t="shared" si="4"/>
        <v>2718.8441982225181</v>
      </c>
      <c r="I95">
        <f t="shared" si="5"/>
        <v>5.1653713422493741</v>
      </c>
    </row>
    <row r="96" spans="1:9" x14ac:dyDescent="0.3">
      <c r="A96">
        <v>3.11902216115385</v>
      </c>
      <c r="B96">
        <v>618.32143048828402</v>
      </c>
      <c r="D96">
        <f t="shared" si="3"/>
        <v>79.223162893307787</v>
      </c>
      <c r="G96">
        <f t="shared" si="4"/>
        <v>2750.4307522767776</v>
      </c>
      <c r="I96">
        <f t="shared" si="5"/>
        <v>6.7118959748331415</v>
      </c>
    </row>
    <row r="97" spans="1:9" x14ac:dyDescent="0.3">
      <c r="A97">
        <v>3.14263298874073</v>
      </c>
      <c r="B97">
        <v>624.53723955517899</v>
      </c>
      <c r="D97">
        <f t="shared" si="3"/>
        <v>79.822877914014541</v>
      </c>
      <c r="G97">
        <f t="shared" si="4"/>
        <v>2778.0800485244722</v>
      </c>
      <c r="I97">
        <f t="shared" si="5"/>
        <v>4.7013055680975455</v>
      </c>
    </row>
    <row r="98" spans="1:9" x14ac:dyDescent="0.3">
      <c r="A98">
        <v>3.1686091277814801</v>
      </c>
      <c r="B98">
        <v>633.41424325086598</v>
      </c>
      <c r="D98">
        <f t="shared" si="3"/>
        <v>80.482671845649577</v>
      </c>
      <c r="G98">
        <f t="shared" si="4"/>
        <v>2817.5669282423746</v>
      </c>
      <c r="I98">
        <f t="shared" si="5"/>
        <v>6.102725338572399</v>
      </c>
    </row>
    <row r="99" spans="1:9" x14ac:dyDescent="0.3">
      <c r="A99">
        <v>3.1922309867470799</v>
      </c>
      <c r="B99">
        <v>644.95078376672097</v>
      </c>
      <c r="D99">
        <f t="shared" si="3"/>
        <v>81.082667063375823</v>
      </c>
      <c r="G99">
        <f t="shared" si="4"/>
        <v>2868.8840171303291</v>
      </c>
      <c r="I99">
        <f t="shared" si="5"/>
        <v>8.7215474383584617</v>
      </c>
    </row>
    <row r="100" spans="1:9" x14ac:dyDescent="0.3">
      <c r="A100">
        <v>3.2111240613680798</v>
      </c>
      <c r="B100">
        <v>652.051723599821</v>
      </c>
      <c r="D100">
        <f t="shared" si="3"/>
        <v>81.562551158749216</v>
      </c>
      <c r="G100">
        <f t="shared" si="4"/>
        <v>2900.4705711845886</v>
      </c>
      <c r="I100">
        <f t="shared" si="5"/>
        <v>6.7118959748333404</v>
      </c>
    </row>
    <row r="101" spans="1:9" x14ac:dyDescent="0.3">
      <c r="A101">
        <v>3.2229322330061998</v>
      </c>
      <c r="B101">
        <v>656.48981099550895</v>
      </c>
      <c r="D101">
        <f t="shared" si="3"/>
        <v>81.86247871835748</v>
      </c>
      <c r="G101">
        <f t="shared" si="4"/>
        <v>2920.2121674685031</v>
      </c>
      <c r="I101">
        <f t="shared" si="5"/>
        <v>6.7118959748365183</v>
      </c>
    </row>
    <row r="102" spans="1:9" x14ac:dyDescent="0.3">
      <c r="A102">
        <v>3.2418253076272001</v>
      </c>
      <c r="B102">
        <v>663.59075082860898</v>
      </c>
      <c r="D102">
        <f t="shared" si="3"/>
        <v>82.342362813730887</v>
      </c>
      <c r="G102">
        <f t="shared" si="4"/>
        <v>2951.7987215227627</v>
      </c>
      <c r="I102">
        <f t="shared" si="5"/>
        <v>6.7118959748331415</v>
      </c>
    </row>
    <row r="103" spans="1:9" x14ac:dyDescent="0.3">
      <c r="A103">
        <v>3.2607183822481902</v>
      </c>
      <c r="B103">
        <v>670.69169066171003</v>
      </c>
      <c r="D103">
        <f t="shared" si="3"/>
        <v>82.822246909104038</v>
      </c>
      <c r="G103">
        <f t="shared" si="4"/>
        <v>2983.3852755770272</v>
      </c>
      <c r="I103">
        <f t="shared" si="5"/>
        <v>6.7118959748377813</v>
      </c>
    </row>
    <row r="104" spans="1:9" x14ac:dyDescent="0.3">
      <c r="A104">
        <v>3.2819767683230499</v>
      </c>
      <c r="B104">
        <v>680.45382512360095</v>
      </c>
      <c r="D104">
        <f t="shared" si="3"/>
        <v>83.362209915405472</v>
      </c>
      <c r="G104">
        <f t="shared" si="4"/>
        <v>3026.80941310149</v>
      </c>
      <c r="I104">
        <f t="shared" si="5"/>
        <v>8.2006168110632593</v>
      </c>
    </row>
    <row r="105" spans="1:9" x14ac:dyDescent="0.3">
      <c r="A105">
        <v>3.30559495016242</v>
      </c>
      <c r="B105">
        <v>690.21678848980298</v>
      </c>
      <c r="D105">
        <f t="shared" si="3"/>
        <v>83.962111734125472</v>
      </c>
      <c r="G105">
        <f t="shared" si="4"/>
        <v>3070.2372377760262</v>
      </c>
      <c r="I105">
        <f t="shared" si="5"/>
        <v>7.3818840905459524</v>
      </c>
    </row>
    <row r="106" spans="1:9" x14ac:dyDescent="0.3">
      <c r="A106">
        <v>3.3268514976741601</v>
      </c>
      <c r="B106">
        <v>699.09213437686697</v>
      </c>
      <c r="D106">
        <f t="shared" si="3"/>
        <v>84.502028040923662</v>
      </c>
      <c r="G106">
        <f t="shared" si="4"/>
        <v>3109.7167431937778</v>
      </c>
      <c r="I106">
        <f t="shared" si="5"/>
        <v>7.4563207756343752</v>
      </c>
    </row>
    <row r="107" spans="1:9" x14ac:dyDescent="0.3">
      <c r="A107">
        <v>3.3504660023872801</v>
      </c>
      <c r="B107">
        <v>707.08152059341603</v>
      </c>
      <c r="D107">
        <f t="shared" si="3"/>
        <v>85.101836460636918</v>
      </c>
      <c r="G107">
        <f t="shared" si="4"/>
        <v>3145.2553036548952</v>
      </c>
      <c r="I107">
        <f t="shared" si="5"/>
        <v>6.0418035321048542</v>
      </c>
    </row>
    <row r="108" spans="1:9" x14ac:dyDescent="0.3">
      <c r="A108">
        <v>3.36464316260551</v>
      </c>
      <c r="B108">
        <v>715.95437976754795</v>
      </c>
      <c r="D108">
        <f t="shared" si="3"/>
        <v>85.461936330179952</v>
      </c>
      <c r="G108">
        <f t="shared" si="4"/>
        <v>3184.7237476224313</v>
      </c>
      <c r="I108">
        <f t="shared" si="5"/>
        <v>11.176513967022615</v>
      </c>
    </row>
    <row r="109" spans="1:9" x14ac:dyDescent="0.3">
      <c r="A109">
        <v>3.3858960329910102</v>
      </c>
      <c r="B109">
        <v>723.05614850495897</v>
      </c>
      <c r="D109">
        <f t="shared" si="3"/>
        <v>86.001759237971669</v>
      </c>
      <c r="G109">
        <f t="shared" si="4"/>
        <v>3216.3139888267647</v>
      </c>
      <c r="I109">
        <f t="shared" si="5"/>
        <v>5.9673423752463428</v>
      </c>
    </row>
    <row r="110" spans="1:9" x14ac:dyDescent="0.3">
      <c r="A110">
        <v>3.40479278473825</v>
      </c>
      <c r="B110">
        <v>731.93066548771196</v>
      </c>
      <c r="D110">
        <f t="shared" si="3"/>
        <v>86.481736732351564</v>
      </c>
      <c r="G110">
        <f t="shared" si="4"/>
        <v>3255.7898070944429</v>
      </c>
      <c r="I110">
        <f t="shared" si="5"/>
        <v>8.3866707042437412</v>
      </c>
    </row>
    <row r="111" spans="1:9" x14ac:dyDescent="0.3">
      <c r="A111">
        <v>3.4260511708131101</v>
      </c>
      <c r="B111">
        <v>741.69279994960402</v>
      </c>
      <c r="D111">
        <f t="shared" si="3"/>
        <v>87.021699738652998</v>
      </c>
      <c r="G111">
        <f t="shared" si="4"/>
        <v>3299.2139446189108</v>
      </c>
      <c r="I111">
        <f t="shared" si="5"/>
        <v>8.2006168110642044</v>
      </c>
    </row>
    <row r="112" spans="1:9" x14ac:dyDescent="0.3">
      <c r="A112">
        <v>3.4449460839972201</v>
      </c>
      <c r="B112">
        <v>749.68052835753099</v>
      </c>
      <c r="D112">
        <f t="shared" si="3"/>
        <v>87.501630533529379</v>
      </c>
      <c r="G112">
        <f t="shared" si="4"/>
        <v>3334.7451307798815</v>
      </c>
      <c r="I112">
        <f t="shared" si="5"/>
        <v>7.5493648212366278</v>
      </c>
    </row>
    <row r="113" spans="1:9" x14ac:dyDescent="0.3">
      <c r="A113">
        <v>3.4685624272734699</v>
      </c>
      <c r="B113">
        <v>758.55670314890597</v>
      </c>
      <c r="D113">
        <f t="shared" si="3"/>
        <v>88.101485652746135</v>
      </c>
      <c r="G113">
        <f t="shared" si="4"/>
        <v>3374.228323347706</v>
      </c>
      <c r="I113">
        <f t="shared" si="5"/>
        <v>6.711895974833201</v>
      </c>
    </row>
    <row r="114" spans="1:9" x14ac:dyDescent="0.3">
      <c r="A114">
        <v>3.4874591790206999</v>
      </c>
      <c r="B114">
        <v>767.43122013165896</v>
      </c>
      <c r="D114">
        <f t="shared" si="3"/>
        <v>88.581463147125788</v>
      </c>
      <c r="G114">
        <f t="shared" si="4"/>
        <v>3413.7041416153843</v>
      </c>
      <c r="I114">
        <f t="shared" si="5"/>
        <v>8.3866707042479636</v>
      </c>
    </row>
    <row r="115" spans="1:9" x14ac:dyDescent="0.3">
      <c r="A115">
        <v>3.5063559307679402</v>
      </c>
      <c r="B115">
        <v>776.30573711441298</v>
      </c>
      <c r="D115">
        <f t="shared" si="3"/>
        <v>89.061440641505683</v>
      </c>
      <c r="G115">
        <f t="shared" si="4"/>
        <v>3453.1799598830671</v>
      </c>
      <c r="I115">
        <f t="shared" si="5"/>
        <v>8.3866707042447075</v>
      </c>
    </row>
    <row r="116" spans="1:9" x14ac:dyDescent="0.3">
      <c r="A116">
        <v>3.5276124782796798</v>
      </c>
      <c r="B116">
        <v>785.18108300147696</v>
      </c>
      <c r="D116">
        <f t="shared" si="3"/>
        <v>89.601356948303874</v>
      </c>
      <c r="G116">
        <f t="shared" si="4"/>
        <v>3492.6594653008187</v>
      </c>
      <c r="I116">
        <f t="shared" si="5"/>
        <v>7.4563207756343752</v>
      </c>
    </row>
    <row r="117" spans="1:9" x14ac:dyDescent="0.3">
      <c r="A117">
        <v>3.5488671872283</v>
      </c>
      <c r="B117">
        <v>793.16964031371504</v>
      </c>
      <c r="D117">
        <f t="shared" si="3"/>
        <v>90.14122655559882</v>
      </c>
      <c r="G117">
        <f t="shared" si="4"/>
        <v>3528.1943386118633</v>
      </c>
      <c r="I117">
        <f t="shared" si="5"/>
        <v>6.7118959748353255</v>
      </c>
    </row>
    <row r="118" spans="1:9" x14ac:dyDescent="0.3">
      <c r="A118">
        <v>3.5654023046479102</v>
      </c>
      <c r="B118">
        <v>801.15653981733203</v>
      </c>
      <c r="D118">
        <f t="shared" si="3"/>
        <v>90.56121853805692</v>
      </c>
      <c r="G118">
        <f t="shared" si="4"/>
        <v>3563.7218376227661</v>
      </c>
      <c r="I118">
        <f t="shared" si="5"/>
        <v>8.6258710311426352</v>
      </c>
    </row>
    <row r="119" spans="1:9" x14ac:dyDescent="0.3">
      <c r="A119">
        <v>3.5842972178320198</v>
      </c>
      <c r="B119">
        <v>809.14426822525797</v>
      </c>
      <c r="D119">
        <f t="shared" si="3"/>
        <v>91.041149332933301</v>
      </c>
      <c r="G119">
        <f t="shared" si="4"/>
        <v>3599.2530237837327</v>
      </c>
      <c r="I119">
        <f t="shared" si="5"/>
        <v>7.5493648212357582</v>
      </c>
    </row>
    <row r="120" spans="1:9" x14ac:dyDescent="0.3">
      <c r="A120">
        <v>3.5961164208488698</v>
      </c>
      <c r="B120">
        <v>818.90308706990595</v>
      </c>
      <c r="D120">
        <f t="shared" si="3"/>
        <v>91.341357089561299</v>
      </c>
      <c r="G120">
        <f t="shared" si="4"/>
        <v>3642.6624127079072</v>
      </c>
      <c r="I120">
        <f t="shared" si="5"/>
        <v>14.744874742292691</v>
      </c>
    </row>
    <row r="121" spans="1:9" x14ac:dyDescent="0.3">
      <c r="A121">
        <v>3.61029358106709</v>
      </c>
      <c r="B121">
        <v>827.77594624403798</v>
      </c>
      <c r="D121">
        <f t="shared" si="3"/>
        <v>91.701456959104092</v>
      </c>
      <c r="G121">
        <f t="shared" si="4"/>
        <v>3682.1308566754437</v>
      </c>
      <c r="I121">
        <f t="shared" si="5"/>
        <v>11.176513967030241</v>
      </c>
    </row>
    <row r="122" spans="1:9" x14ac:dyDescent="0.3">
      <c r="A122">
        <v>3.63155380570507</v>
      </c>
      <c r="B122">
        <v>838.42486928075596</v>
      </c>
      <c r="D122">
        <f t="shared" si="3"/>
        <v>92.241466664908771</v>
      </c>
      <c r="G122">
        <f t="shared" si="4"/>
        <v>3729.4996263066178</v>
      </c>
      <c r="I122">
        <f t="shared" si="5"/>
        <v>8.9447841145277067</v>
      </c>
    </row>
    <row r="123" spans="1:9" x14ac:dyDescent="0.3">
      <c r="A123">
        <v>3.6457346430495399</v>
      </c>
      <c r="B123">
        <v>849.07130560454095</v>
      </c>
      <c r="D123">
        <f t="shared" si="3"/>
        <v>92.601659933458308</v>
      </c>
      <c r="G123">
        <f t="shared" si="4"/>
        <v>3776.8573344875731</v>
      </c>
      <c r="I123">
        <f t="shared" si="5"/>
        <v>13.407086433364636</v>
      </c>
    </row>
    <row r="124" spans="1:9" x14ac:dyDescent="0.3">
      <c r="A124">
        <v>3.6670003833768798</v>
      </c>
      <c r="B124">
        <v>862.38059436573894</v>
      </c>
      <c r="D124">
        <f t="shared" si="3"/>
        <v>93.141809737772746</v>
      </c>
      <c r="G124">
        <f t="shared" si="4"/>
        <v>3836.0600004388775</v>
      </c>
      <c r="I124">
        <f t="shared" si="5"/>
        <v>11.176513967025009</v>
      </c>
    </row>
    <row r="125" spans="1:9" x14ac:dyDescent="0.3">
      <c r="A125">
        <v>3.6811757050319902</v>
      </c>
      <c r="B125">
        <v>870.36666496504404</v>
      </c>
      <c r="D125">
        <f t="shared" si="3"/>
        <v>93.501862907812551</v>
      </c>
      <c r="G125">
        <f t="shared" si="4"/>
        <v>3871.5838122997029</v>
      </c>
      <c r="I125">
        <f t="shared" si="5"/>
        <v>10.060793770335801</v>
      </c>
    </row>
    <row r="126" spans="1:9" x14ac:dyDescent="0.3">
      <c r="A126">
        <v>3.7000742953423398</v>
      </c>
      <c r="B126">
        <v>880.12797052262397</v>
      </c>
      <c r="D126">
        <f t="shared" si="3"/>
        <v>93.981887101695435</v>
      </c>
      <c r="G126">
        <f t="shared" si="4"/>
        <v>3915.0042626740919</v>
      </c>
      <c r="I126">
        <f t="shared" si="5"/>
        <v>9.2238136714356234</v>
      </c>
    </row>
    <row r="127" spans="1:9" x14ac:dyDescent="0.3">
      <c r="A127">
        <v>3.7142551326868101</v>
      </c>
      <c r="B127">
        <v>890.77440684640999</v>
      </c>
      <c r="D127">
        <f t="shared" si="3"/>
        <v>94.342080370244986</v>
      </c>
      <c r="G127">
        <f t="shared" si="4"/>
        <v>3962.3619708550518</v>
      </c>
      <c r="I127">
        <f t="shared" si="5"/>
        <v>13.407086433365397</v>
      </c>
    </row>
    <row r="128" spans="1:9" x14ac:dyDescent="0.3">
      <c r="A128">
        <v>3.7284341314681599</v>
      </c>
      <c r="B128">
        <v>900.53405459536805</v>
      </c>
      <c r="D128">
        <f t="shared" si="3"/>
        <v>94.702226939291251</v>
      </c>
      <c r="G128">
        <f t="shared" si="4"/>
        <v>4005.7750469292955</v>
      </c>
      <c r="I128">
        <f t="shared" si="5"/>
        <v>12.2919448171846</v>
      </c>
    </row>
    <row r="129" spans="1:9" x14ac:dyDescent="0.3">
      <c r="A129">
        <v>3.74261496881262</v>
      </c>
      <c r="B129">
        <v>911.18049091915304</v>
      </c>
      <c r="D129">
        <f t="shared" si="3"/>
        <v>95.062420207840546</v>
      </c>
      <c r="G129">
        <f t="shared" si="4"/>
        <v>4053.1327551102499</v>
      </c>
      <c r="I129">
        <f t="shared" si="5"/>
        <v>13.407086433373372</v>
      </c>
    </row>
    <row r="130" spans="1:9" x14ac:dyDescent="0.3">
      <c r="A130">
        <v>3.7615135591229798</v>
      </c>
      <c r="B130">
        <v>920.941796476734</v>
      </c>
      <c r="D130">
        <f t="shared" ref="D130:D142" si="6">CONVERT($A130,"in","mm")</f>
        <v>95.542444401723685</v>
      </c>
      <c r="G130">
        <f t="shared" ref="G130:G142" si="7">CONVERT($B130,"lbf","N")</f>
        <v>4096.5532054846444</v>
      </c>
      <c r="I130">
        <f t="shared" si="5"/>
        <v>9.2238136714318681</v>
      </c>
    </row>
    <row r="131" spans="1:9" x14ac:dyDescent="0.3">
      <c r="A131">
        <v>3.7804139879964498</v>
      </c>
      <c r="B131">
        <v>931.58989060913996</v>
      </c>
      <c r="D131">
        <f t="shared" si="6"/>
        <v>96.022515295109812</v>
      </c>
      <c r="G131">
        <f t="shared" si="7"/>
        <v>4143.918287965741</v>
      </c>
      <c r="I131">
        <f t="shared" ref="I131:I142" si="8">(G131-G130)/(D131-D130)/9.80665</f>
        <v>10.060793770340821</v>
      </c>
    </row>
    <row r="132" spans="1:9" x14ac:dyDescent="0.3">
      <c r="A132">
        <v>3.79459666390404</v>
      </c>
      <c r="B132">
        <v>943.12311550775303</v>
      </c>
      <c r="D132">
        <f t="shared" si="6"/>
        <v>96.382755263162622</v>
      </c>
      <c r="G132">
        <f t="shared" si="7"/>
        <v>4195.2206282534125</v>
      </c>
      <c r="I132">
        <f t="shared" si="8"/>
        <v>14.521938928048224</v>
      </c>
    </row>
    <row r="133" spans="1:9" x14ac:dyDescent="0.3">
      <c r="A133">
        <v>3.8111354584498902</v>
      </c>
      <c r="B133">
        <v>952.88359216102197</v>
      </c>
      <c r="D133">
        <f t="shared" si="6"/>
        <v>96.80284064462721</v>
      </c>
      <c r="G133">
        <f t="shared" si="7"/>
        <v>4238.6373914777287</v>
      </c>
      <c r="I133">
        <f t="shared" si="8"/>
        <v>10.538995006326131</v>
      </c>
    </row>
    <row r="134" spans="1:9" x14ac:dyDescent="0.3">
      <c r="A134">
        <v>3.83003404876025</v>
      </c>
      <c r="B134">
        <v>962.64489771860201</v>
      </c>
      <c r="D134">
        <f t="shared" si="6"/>
        <v>97.282864838510335</v>
      </c>
      <c r="G134">
        <f t="shared" si="7"/>
        <v>4282.0578418521191</v>
      </c>
      <c r="I134">
        <f t="shared" si="8"/>
        <v>9.2238136714312731</v>
      </c>
    </row>
    <row r="135" spans="1:9" x14ac:dyDescent="0.3">
      <c r="A135">
        <v>3.8442130475415901</v>
      </c>
      <c r="B135">
        <v>972.40454546756098</v>
      </c>
      <c r="D135">
        <f t="shared" si="6"/>
        <v>97.643011407556386</v>
      </c>
      <c r="G135">
        <f t="shared" si="7"/>
        <v>4325.4709179263664</v>
      </c>
      <c r="I135">
        <f t="shared" si="8"/>
        <v>12.291944817192906</v>
      </c>
    </row>
    <row r="136" spans="1:9" x14ac:dyDescent="0.3">
      <c r="A136">
        <v>3.8607500035243301</v>
      </c>
      <c r="B136">
        <v>981.278233546004</v>
      </c>
      <c r="D136">
        <f t="shared" si="6"/>
        <v>98.063050089517986</v>
      </c>
      <c r="G136">
        <f t="shared" si="7"/>
        <v>4364.9430490439763</v>
      </c>
      <c r="I136">
        <f t="shared" si="8"/>
        <v>9.5825393683853957</v>
      </c>
    </row>
    <row r="137" spans="1:9" x14ac:dyDescent="0.3">
      <c r="A137">
        <v>3.8702038950872999</v>
      </c>
      <c r="B137">
        <v>988.37585776185995</v>
      </c>
      <c r="D137">
        <f t="shared" si="6"/>
        <v>98.303178935217417</v>
      </c>
      <c r="G137">
        <f t="shared" si="7"/>
        <v>4396.5148544979429</v>
      </c>
      <c r="I137">
        <f t="shared" si="8"/>
        <v>13.407086433377637</v>
      </c>
    </row>
    <row r="138" spans="1:9" x14ac:dyDescent="0.3">
      <c r="A138">
        <v>3.8843828938686502</v>
      </c>
      <c r="B138">
        <v>998.13550551081903</v>
      </c>
      <c r="D138">
        <f t="shared" si="6"/>
        <v>98.66332550426371</v>
      </c>
      <c r="G138">
        <f t="shared" si="7"/>
        <v>4439.9279305721911</v>
      </c>
      <c r="I138">
        <f t="shared" si="8"/>
        <v>12.291944817184918</v>
      </c>
    </row>
    <row r="139" spans="1:9" x14ac:dyDescent="0.3">
      <c r="A139">
        <v>3.8985600540868801</v>
      </c>
      <c r="B139">
        <v>1007.00836468495</v>
      </c>
      <c r="D139">
        <f t="shared" si="6"/>
        <v>99.023425373806745</v>
      </c>
      <c r="G139">
        <f t="shared" si="7"/>
        <v>4479.3963745397232</v>
      </c>
      <c r="I139">
        <f t="shared" si="8"/>
        <v>11.176513967021455</v>
      </c>
    </row>
    <row r="140" spans="1:9" x14ac:dyDescent="0.3">
      <c r="A140">
        <v>3.9150933329433699</v>
      </c>
      <c r="B140">
        <v>1014.10847561374</v>
      </c>
      <c r="D140">
        <f t="shared" si="6"/>
        <v>99.443370656761587</v>
      </c>
      <c r="G140">
        <f t="shared" si="7"/>
        <v>4510.9792414439144</v>
      </c>
      <c r="I140">
        <f t="shared" si="8"/>
        <v>7.6689899236208205</v>
      </c>
    </row>
    <row r="141" spans="1:9" x14ac:dyDescent="0.3">
      <c r="A141">
        <v>3.9292631389091102</v>
      </c>
      <c r="B141">
        <v>1019.43418048857</v>
      </c>
      <c r="D141">
        <f t="shared" si="6"/>
        <v>99.80328372829139</v>
      </c>
      <c r="G141">
        <f t="shared" si="7"/>
        <v>4534.6691569846307</v>
      </c>
      <c r="I141">
        <f t="shared" si="8"/>
        <v>6.7118959748439986</v>
      </c>
    </row>
    <row r="142" spans="1:9" x14ac:dyDescent="0.3">
      <c r="A142">
        <v>3.9387207075983302</v>
      </c>
      <c r="B142">
        <v>1028.30538185408</v>
      </c>
      <c r="D142">
        <f t="shared" si="6"/>
        <v>100.04350597299758</v>
      </c>
      <c r="G142">
        <f t="shared" si="7"/>
        <v>4574.1302266520206</v>
      </c>
      <c r="I142">
        <f t="shared" si="8"/>
        <v>16.750777002564721</v>
      </c>
    </row>
    <row r="144" spans="1:9" x14ac:dyDescent="0.3">
      <c r="I144">
        <f>MAX(I2:I142)</f>
        <v>16.750777002564721</v>
      </c>
    </row>
  </sheetData>
  <sortState ref="A1:B14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2020-12-27T16:09:47Z</dcterms:created>
  <dcterms:modified xsi:type="dcterms:W3CDTF">2020-12-28T08:30:30Z</dcterms:modified>
</cp:coreProperties>
</file>