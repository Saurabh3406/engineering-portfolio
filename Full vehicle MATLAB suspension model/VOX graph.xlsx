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ystem Files\Downloads\"/>
    </mc:Choice>
  </mc:AlternateContent>
  <bookViews>
    <workbookView xWindow="0" yWindow="0" windowWidth="23040" windowHeight="9384"/>
  </bookViews>
  <sheets>
    <sheet name="ADITYA 3" sheetId="2" r:id="rId1"/>
    <sheet name="ADITYA 2" sheetId="1" r:id="rId2"/>
    <sheet name="ADITYA 4" sheetId="3" r:id="rId3"/>
    <sheet name="ADITYA 5" sheetId="6" r:id="rId4"/>
  </sheets>
  <calcPr calcId="152511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" i="2"/>
</calcChain>
</file>

<file path=xl/sharedStrings.xml><?xml version="1.0" encoding="utf-8"?>
<sst xmlns="http://schemas.openxmlformats.org/spreadsheetml/2006/main" count="20" uniqueCount="5">
  <si>
    <t>Main</t>
  </si>
  <si>
    <t>E Vol</t>
  </si>
  <si>
    <t>disp. (mm.)</t>
  </si>
  <si>
    <t>load (kN)</t>
  </si>
  <si>
    <t>load without zero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</si>
</sst>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without zero error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'ADITYA 3'!$C$2</c:f>
              <c:strCache>
                <c:ptCount val="1"/>
                <c:pt idx="0">
                  <c:v>0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'ADITYA 3'!$A$3:$A$61</c:f>
              <c:numCache>
                <c:formatCode>General</c:formatCode>
                <c:ptCount val="59"/>
                <c:pt idx="0">
                  <c:v>2.153</c:v>
                </c:pt>
                <c:pt idx="1">
                  <c:v>5.4649999999999999</c:v>
                </c:pt>
                <c:pt idx="2">
                  <c:v>7.9489999999999998</c:v>
                </c:pt>
                <c:pt idx="3">
                  <c:v>10.433</c:v>
                </c:pt>
                <c:pt idx="4">
                  <c:v>12.917</c:v>
                </c:pt>
                <c:pt idx="5">
                  <c:v>14.573</c:v>
                </c:pt>
                <c:pt idx="6">
                  <c:v>16.064</c:v>
                </c:pt>
                <c:pt idx="7">
                  <c:v>17.72</c:v>
                </c:pt>
                <c:pt idx="8">
                  <c:v>19.541</c:v>
                </c:pt>
                <c:pt idx="9">
                  <c:v>21.196999999999999</c:v>
                </c:pt>
                <c:pt idx="10">
                  <c:v>22.521999999999998</c:v>
                </c:pt>
                <c:pt idx="11">
                  <c:v>23.763999999999999</c:v>
                </c:pt>
                <c:pt idx="12">
                  <c:v>25.338000000000001</c:v>
                </c:pt>
                <c:pt idx="13">
                  <c:v>27.158999999999999</c:v>
                </c:pt>
                <c:pt idx="14">
                  <c:v>29.312000000000001</c:v>
                </c:pt>
                <c:pt idx="15">
                  <c:v>30.637</c:v>
                </c:pt>
                <c:pt idx="16">
                  <c:v>31.962</c:v>
                </c:pt>
                <c:pt idx="17">
                  <c:v>33.618000000000002</c:v>
                </c:pt>
                <c:pt idx="18">
                  <c:v>35.771000000000001</c:v>
                </c:pt>
                <c:pt idx="19">
                  <c:v>37.758000000000003</c:v>
                </c:pt>
                <c:pt idx="20">
                  <c:v>39.58</c:v>
                </c:pt>
                <c:pt idx="21">
                  <c:v>41.731999999999999</c:v>
                </c:pt>
                <c:pt idx="22">
                  <c:v>43.884999999999998</c:v>
                </c:pt>
                <c:pt idx="23">
                  <c:v>46.037999999999997</c:v>
                </c:pt>
                <c:pt idx="24">
                  <c:v>47.197000000000003</c:v>
                </c:pt>
                <c:pt idx="25">
                  <c:v>49.185000000000002</c:v>
                </c:pt>
                <c:pt idx="26">
                  <c:v>50.51</c:v>
                </c:pt>
                <c:pt idx="27">
                  <c:v>52.828000000000003</c:v>
                </c:pt>
                <c:pt idx="28">
                  <c:v>54.814999999999998</c:v>
                </c:pt>
                <c:pt idx="29">
                  <c:v>56.968000000000004</c:v>
                </c:pt>
                <c:pt idx="30">
                  <c:v>59.618000000000002</c:v>
                </c:pt>
                <c:pt idx="31">
                  <c:v>61.936</c:v>
                </c:pt>
                <c:pt idx="32">
                  <c:v>64.088999999999999</c:v>
                </c:pt>
                <c:pt idx="33">
                  <c:v>67.069999999999993</c:v>
                </c:pt>
                <c:pt idx="34">
                  <c:v>69.14</c:v>
                </c:pt>
                <c:pt idx="35">
                  <c:v>72.203999999999994</c:v>
                </c:pt>
                <c:pt idx="36">
                  <c:v>74.522000000000006</c:v>
                </c:pt>
                <c:pt idx="37">
                  <c:v>76.840999999999994</c:v>
                </c:pt>
                <c:pt idx="38">
                  <c:v>80.153000000000006</c:v>
                </c:pt>
                <c:pt idx="39">
                  <c:v>82.471000000000004</c:v>
                </c:pt>
                <c:pt idx="40">
                  <c:v>85.120999999999995</c:v>
                </c:pt>
                <c:pt idx="41">
                  <c:v>87.605000000000004</c:v>
                </c:pt>
                <c:pt idx="42">
                  <c:v>90.254999999999995</c:v>
                </c:pt>
                <c:pt idx="43">
                  <c:v>93.731999999999999</c:v>
                </c:pt>
                <c:pt idx="44">
                  <c:v>95.72</c:v>
                </c:pt>
                <c:pt idx="45">
                  <c:v>98.534999999999997</c:v>
                </c:pt>
                <c:pt idx="46">
                  <c:v>100.688</c:v>
                </c:pt>
                <c:pt idx="47">
                  <c:v>103.172</c:v>
                </c:pt>
                <c:pt idx="48">
                  <c:v>104.66200000000001</c:v>
                </c:pt>
                <c:pt idx="49">
                  <c:v>107.146</c:v>
                </c:pt>
                <c:pt idx="50">
                  <c:v>108.637</c:v>
                </c:pt>
                <c:pt idx="51">
                  <c:v>111.121</c:v>
                </c:pt>
                <c:pt idx="52">
                  <c:v>113.108</c:v>
                </c:pt>
                <c:pt idx="53">
                  <c:v>115.261</c:v>
                </c:pt>
                <c:pt idx="54">
                  <c:v>117.58</c:v>
                </c:pt>
                <c:pt idx="55">
                  <c:v>119.401</c:v>
                </c:pt>
                <c:pt idx="56">
                  <c:v>120.892</c:v>
                </c:pt>
                <c:pt idx="57">
                  <c:v>124.20399999999999</c:v>
                </c:pt>
                <c:pt idx="58">
                  <c:v>125.529</c:v>
                </c:pt>
              </c:numCache>
            </c:numRef>
          </c:xVal>
          <c:yVal>
            <c:numRef>
              <c:f>'ADITYA 3'!$C$3:$C$61</c:f>
              <c:numCache>
                <c:formatCode>General</c:formatCode>
                <c:ptCount val="59"/>
                <c:pt idx="0">
                  <c:v>0.15199999999999925</c:v>
                </c:pt>
                <c:pt idx="1">
                  <c:v>0.13399999999999856</c:v>
                </c:pt>
                <c:pt idx="2">
                  <c:v>0.26699999999999946</c:v>
                </c:pt>
                <c:pt idx="3">
                  <c:v>0.30599999999999916</c:v>
                </c:pt>
                <c:pt idx="4">
                  <c:v>0.38199999999999967</c:v>
                </c:pt>
                <c:pt idx="5">
                  <c:v>0.41999999999999993</c:v>
                </c:pt>
                <c:pt idx="6">
                  <c:v>0.49699999999999989</c:v>
                </c:pt>
                <c:pt idx="7">
                  <c:v>0.57299999999999862</c:v>
                </c:pt>
                <c:pt idx="8">
                  <c:v>0.61099999999999888</c:v>
                </c:pt>
                <c:pt idx="9">
                  <c:v>0.64999999999999858</c:v>
                </c:pt>
                <c:pt idx="10">
                  <c:v>0.72599999999999909</c:v>
                </c:pt>
                <c:pt idx="11">
                  <c:v>0.70699999999999896</c:v>
                </c:pt>
                <c:pt idx="12">
                  <c:v>0.76399999999999935</c:v>
                </c:pt>
                <c:pt idx="13">
                  <c:v>0.8409999999999993</c:v>
                </c:pt>
                <c:pt idx="14">
                  <c:v>0.87899999999999956</c:v>
                </c:pt>
                <c:pt idx="15">
                  <c:v>0.87899999999999956</c:v>
                </c:pt>
                <c:pt idx="16">
                  <c:v>0.91799999999999926</c:v>
                </c:pt>
                <c:pt idx="17">
                  <c:v>0.95599999999999952</c:v>
                </c:pt>
                <c:pt idx="18">
                  <c:v>0.95599999999999952</c:v>
                </c:pt>
                <c:pt idx="19">
                  <c:v>0.95699999999999896</c:v>
                </c:pt>
                <c:pt idx="20">
                  <c:v>0.99499999999999922</c:v>
                </c:pt>
                <c:pt idx="21">
                  <c:v>1.0329999999999995</c:v>
                </c:pt>
                <c:pt idx="22">
                  <c:v>1.0149999999999988</c:v>
                </c:pt>
                <c:pt idx="23">
                  <c:v>1.1099999999999994</c:v>
                </c:pt>
                <c:pt idx="24">
                  <c:v>1.1099999999999994</c:v>
                </c:pt>
                <c:pt idx="25">
                  <c:v>1.1489999999999991</c:v>
                </c:pt>
                <c:pt idx="26">
                  <c:v>1.1489999999999991</c:v>
                </c:pt>
                <c:pt idx="27">
                  <c:v>1.2249999999999996</c:v>
                </c:pt>
                <c:pt idx="28">
                  <c:v>1.2259999999999991</c:v>
                </c:pt>
                <c:pt idx="29">
                  <c:v>1.2639999999999993</c:v>
                </c:pt>
                <c:pt idx="30">
                  <c:v>1.302999999999999</c:v>
                </c:pt>
                <c:pt idx="31">
                  <c:v>1.3219999999999992</c:v>
                </c:pt>
                <c:pt idx="32">
                  <c:v>1.3040000000000003</c:v>
                </c:pt>
                <c:pt idx="33">
                  <c:v>1.3800000000000008</c:v>
                </c:pt>
                <c:pt idx="34">
                  <c:v>1.4749999999999996</c:v>
                </c:pt>
                <c:pt idx="35">
                  <c:v>1.5329999999999995</c:v>
                </c:pt>
                <c:pt idx="36">
                  <c:v>1.5709999999999997</c:v>
                </c:pt>
                <c:pt idx="37">
                  <c:v>1.572000000000001</c:v>
                </c:pt>
                <c:pt idx="38">
                  <c:v>1.6859999999999982</c:v>
                </c:pt>
                <c:pt idx="39">
                  <c:v>1.7629999999999999</c:v>
                </c:pt>
                <c:pt idx="40">
                  <c:v>1.8010000000000002</c:v>
                </c:pt>
                <c:pt idx="41">
                  <c:v>1.9159999999999986</c:v>
                </c:pt>
                <c:pt idx="42">
                  <c:v>1.9159999999999986</c:v>
                </c:pt>
                <c:pt idx="43">
                  <c:v>1.9550000000000001</c:v>
                </c:pt>
                <c:pt idx="44">
                  <c:v>2.0690000000000008</c:v>
                </c:pt>
                <c:pt idx="45">
                  <c:v>2.1839999999999993</c:v>
                </c:pt>
                <c:pt idx="46">
                  <c:v>2.1839999999999993</c:v>
                </c:pt>
                <c:pt idx="47">
                  <c:v>2.2989999999999977</c:v>
                </c:pt>
                <c:pt idx="48">
                  <c:v>2.3749999999999982</c:v>
                </c:pt>
                <c:pt idx="49">
                  <c:v>2.452</c:v>
                </c:pt>
                <c:pt idx="50">
                  <c:v>2.5660000000000007</c:v>
                </c:pt>
                <c:pt idx="51">
                  <c:v>2.6419999999999977</c:v>
                </c:pt>
                <c:pt idx="52">
                  <c:v>2.7949999999999999</c:v>
                </c:pt>
                <c:pt idx="53">
                  <c:v>2.9090000000000007</c:v>
                </c:pt>
                <c:pt idx="54">
                  <c:v>3.270999999999999</c:v>
                </c:pt>
                <c:pt idx="55">
                  <c:v>3.4799999999999986</c:v>
                </c:pt>
                <c:pt idx="56">
                  <c:v>3.7460000000000004</c:v>
                </c:pt>
                <c:pt idx="57">
                  <c:v>4.1650000000000009</c:v>
                </c:pt>
                <c:pt idx="58">
                  <c:v>4.3929999999999989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594064"/>
        <c:axId val="1937592432"/>
      </c:scatterChart>
      <c:valAx>
        <c:axId val="19375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92432"/>
        <c:crosses val="autoZero"/>
        <c:crossBetween val="midCat"/>
      </c:valAx>
      <c:valAx>
        <c:axId val="193759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9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'ADITYA 2'!$C$1</c:f>
              <c:strCache>
                <c:ptCount val="1"/>
                <c:pt idx="0">
                  <c:v>load without zero error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'ADITYA 2'!$A$2:$A$64</c:f>
              <c:numCache>
                <c:formatCode>General</c:formatCode>
                <c:ptCount val="63"/>
                <c:pt idx="0">
                  <c:v>0</c:v>
                </c:pt>
                <c:pt idx="1">
                  <c:v>1.288</c:v>
                </c:pt>
                <c:pt idx="2">
                  <c:v>2.1179999999999999</c:v>
                </c:pt>
                <c:pt idx="3">
                  <c:v>3.78</c:v>
                </c:pt>
                <c:pt idx="4">
                  <c:v>5.109</c:v>
                </c:pt>
                <c:pt idx="5">
                  <c:v>6.4379999999999997</c:v>
                </c:pt>
                <c:pt idx="6">
                  <c:v>7.7670000000000003</c:v>
                </c:pt>
                <c:pt idx="7">
                  <c:v>9.0960000000000001</c:v>
                </c:pt>
                <c:pt idx="8">
                  <c:v>10.259</c:v>
                </c:pt>
                <c:pt idx="9">
                  <c:v>12.086</c:v>
                </c:pt>
                <c:pt idx="10">
                  <c:v>13.414999999999999</c:v>
                </c:pt>
                <c:pt idx="11">
                  <c:v>15.077</c:v>
                </c:pt>
                <c:pt idx="12">
                  <c:v>16.405999999999999</c:v>
                </c:pt>
                <c:pt idx="13">
                  <c:v>17.734999999999999</c:v>
                </c:pt>
                <c:pt idx="14">
                  <c:v>19.562000000000001</c:v>
                </c:pt>
                <c:pt idx="15">
                  <c:v>21.722000000000001</c:v>
                </c:pt>
                <c:pt idx="16">
                  <c:v>23.716000000000001</c:v>
                </c:pt>
                <c:pt idx="17">
                  <c:v>25.045000000000002</c:v>
                </c:pt>
                <c:pt idx="18">
                  <c:v>26.54</c:v>
                </c:pt>
                <c:pt idx="19">
                  <c:v>27.702999999999999</c:v>
                </c:pt>
                <c:pt idx="20">
                  <c:v>29.696000000000002</c:v>
                </c:pt>
                <c:pt idx="21">
                  <c:v>31.69</c:v>
                </c:pt>
                <c:pt idx="22">
                  <c:v>33.518000000000001</c:v>
                </c:pt>
                <c:pt idx="23">
                  <c:v>36.01</c:v>
                </c:pt>
                <c:pt idx="24">
                  <c:v>37.505000000000003</c:v>
                </c:pt>
                <c:pt idx="25">
                  <c:v>40.162999999999997</c:v>
                </c:pt>
                <c:pt idx="26">
                  <c:v>42.156999999999996</c:v>
                </c:pt>
                <c:pt idx="27">
                  <c:v>44.981000000000002</c:v>
                </c:pt>
                <c:pt idx="28">
                  <c:v>47.140999999999998</c:v>
                </c:pt>
                <c:pt idx="29">
                  <c:v>49.633000000000003</c:v>
                </c:pt>
                <c:pt idx="30">
                  <c:v>51.792000000000002</c:v>
                </c:pt>
                <c:pt idx="31">
                  <c:v>54.783000000000001</c:v>
                </c:pt>
                <c:pt idx="32">
                  <c:v>57.606999999999999</c:v>
                </c:pt>
                <c:pt idx="33">
                  <c:v>62.093000000000004</c:v>
                </c:pt>
                <c:pt idx="34">
                  <c:v>65.248999999999995</c:v>
                </c:pt>
                <c:pt idx="35">
                  <c:v>67.409000000000006</c:v>
                </c:pt>
                <c:pt idx="36">
                  <c:v>69.403000000000006</c:v>
                </c:pt>
                <c:pt idx="37">
                  <c:v>72.227000000000004</c:v>
                </c:pt>
                <c:pt idx="38">
                  <c:v>73.888000000000005</c:v>
                </c:pt>
                <c:pt idx="39">
                  <c:v>75.382999999999996</c:v>
                </c:pt>
                <c:pt idx="40">
                  <c:v>77.376999999999995</c:v>
                </c:pt>
                <c:pt idx="41">
                  <c:v>79.203999999999994</c:v>
                </c:pt>
                <c:pt idx="42">
                  <c:v>81.53</c:v>
                </c:pt>
                <c:pt idx="43">
                  <c:v>83.358000000000004</c:v>
                </c:pt>
                <c:pt idx="44">
                  <c:v>86.182000000000002</c:v>
                </c:pt>
                <c:pt idx="45">
                  <c:v>88.01</c:v>
                </c:pt>
                <c:pt idx="46">
                  <c:v>89.504999999999995</c:v>
                </c:pt>
                <c:pt idx="47">
                  <c:v>92.495000000000005</c:v>
                </c:pt>
                <c:pt idx="48">
                  <c:v>96.980999999999995</c:v>
                </c:pt>
                <c:pt idx="49">
                  <c:v>100.636</c:v>
                </c:pt>
                <c:pt idx="50">
                  <c:v>102.629</c:v>
                </c:pt>
                <c:pt idx="51">
                  <c:v>105.288</c:v>
                </c:pt>
                <c:pt idx="52">
                  <c:v>107.613</c:v>
                </c:pt>
                <c:pt idx="53">
                  <c:v>109.93899999999999</c:v>
                </c:pt>
                <c:pt idx="54">
                  <c:v>111.93300000000001</c:v>
                </c:pt>
                <c:pt idx="55">
                  <c:v>113.59399999999999</c:v>
                </c:pt>
                <c:pt idx="56">
                  <c:v>114.75700000000001</c:v>
                </c:pt>
                <c:pt idx="57">
                  <c:v>116.086</c:v>
                </c:pt>
                <c:pt idx="58">
                  <c:v>117.083</c:v>
                </c:pt>
                <c:pt idx="59">
                  <c:v>118.744</c:v>
                </c:pt>
                <c:pt idx="60">
                  <c:v>119.907</c:v>
                </c:pt>
                <c:pt idx="61">
                  <c:v>121.735</c:v>
                </c:pt>
                <c:pt idx="62">
                  <c:v>123.72799999999999</c:v>
                </c:pt>
              </c:numCache>
            </c:numRef>
          </c:xVal>
          <c:yVal>
            <c:numRef>
              <c:f>'ADITYA 2'!$C$2:$C$64</c:f>
              <c:numCache>
                <c:formatCode>General</c:formatCode>
                <c:ptCount val="63"/>
                <c:pt idx="0">
                  <c:v>0</c:v>
                </c:pt>
                <c:pt idx="1">
                  <c:v>0.2289999999999992</c:v>
                </c:pt>
                <c:pt idx="2">
                  <c:v>0.26699999999999946</c:v>
                </c:pt>
                <c:pt idx="3">
                  <c:v>0.30499999999999972</c:v>
                </c:pt>
                <c:pt idx="4">
                  <c:v>0.34299999999999997</c:v>
                </c:pt>
                <c:pt idx="5">
                  <c:v>0.38100000000000023</c:v>
                </c:pt>
                <c:pt idx="6">
                  <c:v>0.41899999999999871</c:v>
                </c:pt>
                <c:pt idx="7">
                  <c:v>0.49499999999999922</c:v>
                </c:pt>
                <c:pt idx="8">
                  <c:v>0.57199999999999918</c:v>
                </c:pt>
                <c:pt idx="9">
                  <c:v>0.57199999999999918</c:v>
                </c:pt>
                <c:pt idx="10">
                  <c:v>0.64799999999999969</c:v>
                </c:pt>
                <c:pt idx="11">
                  <c:v>0.68599999999999994</c:v>
                </c:pt>
                <c:pt idx="12">
                  <c:v>0.7240000000000002</c:v>
                </c:pt>
                <c:pt idx="13">
                  <c:v>0.83799999999999919</c:v>
                </c:pt>
                <c:pt idx="14">
                  <c:v>0.87599999999999945</c:v>
                </c:pt>
                <c:pt idx="15">
                  <c:v>0.9139999999999997</c:v>
                </c:pt>
                <c:pt idx="16">
                  <c:v>0.99099999999999966</c:v>
                </c:pt>
                <c:pt idx="17">
                  <c:v>1.0289999999999999</c:v>
                </c:pt>
                <c:pt idx="18">
                  <c:v>1.1049999999999986</c:v>
                </c:pt>
                <c:pt idx="19">
                  <c:v>1.1429999999999989</c:v>
                </c:pt>
                <c:pt idx="20">
                  <c:v>1.1809999999999992</c:v>
                </c:pt>
                <c:pt idx="21">
                  <c:v>1.1809999999999992</c:v>
                </c:pt>
                <c:pt idx="22">
                  <c:v>1.1809999999999992</c:v>
                </c:pt>
                <c:pt idx="23">
                  <c:v>1.1809999999999992</c:v>
                </c:pt>
                <c:pt idx="24">
                  <c:v>1.2569999999999997</c:v>
                </c:pt>
                <c:pt idx="25">
                  <c:v>1.2949999999999999</c:v>
                </c:pt>
                <c:pt idx="26">
                  <c:v>1.3330000000000002</c:v>
                </c:pt>
                <c:pt idx="27">
                  <c:v>1.3330000000000002</c:v>
                </c:pt>
                <c:pt idx="28">
                  <c:v>1.4100000000000001</c:v>
                </c:pt>
                <c:pt idx="29">
                  <c:v>1.4479999999999986</c:v>
                </c:pt>
                <c:pt idx="30">
                  <c:v>1.5239999999999991</c:v>
                </c:pt>
                <c:pt idx="31">
                  <c:v>1.5239999999999991</c:v>
                </c:pt>
                <c:pt idx="32">
                  <c:v>1.5239999999999991</c:v>
                </c:pt>
                <c:pt idx="33">
                  <c:v>1.5999999999999996</c:v>
                </c:pt>
                <c:pt idx="34">
                  <c:v>1.6379999999999999</c:v>
                </c:pt>
                <c:pt idx="35">
                  <c:v>1.7140000000000004</c:v>
                </c:pt>
                <c:pt idx="36">
                  <c:v>1.7140000000000004</c:v>
                </c:pt>
                <c:pt idx="37">
                  <c:v>1.7520000000000007</c:v>
                </c:pt>
                <c:pt idx="38">
                  <c:v>1.7520000000000007</c:v>
                </c:pt>
                <c:pt idx="39">
                  <c:v>1.7909999999999986</c:v>
                </c:pt>
                <c:pt idx="40">
                  <c:v>1.8100000000000005</c:v>
                </c:pt>
                <c:pt idx="41">
                  <c:v>1.8669999999999991</c:v>
                </c:pt>
                <c:pt idx="42">
                  <c:v>1.9429999999999996</c:v>
                </c:pt>
                <c:pt idx="43">
                  <c:v>1.9809999999999999</c:v>
                </c:pt>
                <c:pt idx="44">
                  <c:v>2.0570000000000004</c:v>
                </c:pt>
                <c:pt idx="45">
                  <c:v>2.0950000000000006</c:v>
                </c:pt>
                <c:pt idx="46">
                  <c:v>2.1330000000000009</c:v>
                </c:pt>
                <c:pt idx="47">
                  <c:v>2.2099999999999991</c:v>
                </c:pt>
                <c:pt idx="48">
                  <c:v>2.3620000000000001</c:v>
                </c:pt>
                <c:pt idx="49">
                  <c:v>2.4380000000000006</c:v>
                </c:pt>
                <c:pt idx="50">
                  <c:v>2.5329999999999995</c:v>
                </c:pt>
                <c:pt idx="51">
                  <c:v>2.6669999999999998</c:v>
                </c:pt>
                <c:pt idx="52">
                  <c:v>2.7430000000000003</c:v>
                </c:pt>
                <c:pt idx="53">
                  <c:v>2.8190000000000008</c:v>
                </c:pt>
                <c:pt idx="54">
                  <c:v>2.9139999999999997</c:v>
                </c:pt>
                <c:pt idx="55">
                  <c:v>3.01</c:v>
                </c:pt>
                <c:pt idx="56">
                  <c:v>3.1429999999999989</c:v>
                </c:pt>
                <c:pt idx="57">
                  <c:v>3.3139999999999983</c:v>
                </c:pt>
                <c:pt idx="58">
                  <c:v>3.5050000000000008</c:v>
                </c:pt>
                <c:pt idx="59">
                  <c:v>3.7329999999999988</c:v>
                </c:pt>
                <c:pt idx="60">
                  <c:v>3.961999999999998</c:v>
                </c:pt>
                <c:pt idx="61">
                  <c:v>4.1519999999999992</c:v>
                </c:pt>
                <c:pt idx="62">
                  <c:v>4.456999999999999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602224"/>
        <c:axId val="1937606032"/>
      </c:scatterChart>
      <c:valAx>
        <c:axId val="19376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06032"/>
        <c:crosses val="autoZero"/>
        <c:crossBetween val="midCat"/>
      </c:valAx>
      <c:valAx>
        <c:axId val="19376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'ADITYA 4'!$C$1</c:f>
              <c:strCache>
                <c:ptCount val="1"/>
                <c:pt idx="0">
                  <c:v>load without zero error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'ADITYA 4'!$A$2:$A$54</c:f>
              <c:numCache>
                <c:formatCode>General</c:formatCode>
                <c:ptCount val="53"/>
                <c:pt idx="0">
                  <c:v>0</c:v>
                </c:pt>
                <c:pt idx="1">
                  <c:v>1.982</c:v>
                </c:pt>
                <c:pt idx="2">
                  <c:v>4.319</c:v>
                </c:pt>
                <c:pt idx="3">
                  <c:v>6.3230000000000004</c:v>
                </c:pt>
                <c:pt idx="4">
                  <c:v>9.4939999999999998</c:v>
                </c:pt>
                <c:pt idx="5">
                  <c:v>12.499000000000001</c:v>
                </c:pt>
                <c:pt idx="6">
                  <c:v>15.337</c:v>
                </c:pt>
                <c:pt idx="7">
                  <c:v>17.757999999999999</c:v>
                </c:pt>
                <c:pt idx="8">
                  <c:v>19.844000000000001</c:v>
                </c:pt>
                <c:pt idx="9">
                  <c:v>23.183</c:v>
                </c:pt>
                <c:pt idx="10">
                  <c:v>27.021999999999998</c:v>
                </c:pt>
                <c:pt idx="11">
                  <c:v>30.695</c:v>
                </c:pt>
                <c:pt idx="12">
                  <c:v>34.033999999999999</c:v>
                </c:pt>
                <c:pt idx="13">
                  <c:v>37.204999999999998</c:v>
                </c:pt>
                <c:pt idx="14">
                  <c:v>40.710999999999999</c:v>
                </c:pt>
                <c:pt idx="15">
                  <c:v>44.384</c:v>
                </c:pt>
                <c:pt idx="16">
                  <c:v>47.055</c:v>
                </c:pt>
                <c:pt idx="17">
                  <c:v>49.058</c:v>
                </c:pt>
                <c:pt idx="18">
                  <c:v>51.561999999999998</c:v>
                </c:pt>
                <c:pt idx="19">
                  <c:v>54.4</c:v>
                </c:pt>
                <c:pt idx="20">
                  <c:v>57.738</c:v>
                </c:pt>
                <c:pt idx="21">
                  <c:v>60.158999999999999</c:v>
                </c:pt>
                <c:pt idx="22">
                  <c:v>63.581000000000003</c:v>
                </c:pt>
                <c:pt idx="23">
                  <c:v>66.585999999999999</c:v>
                </c:pt>
                <c:pt idx="24">
                  <c:v>68.923000000000002</c:v>
                </c:pt>
                <c:pt idx="25">
                  <c:v>70.759</c:v>
                </c:pt>
                <c:pt idx="26">
                  <c:v>72.929000000000002</c:v>
                </c:pt>
                <c:pt idx="27">
                  <c:v>75.099999999999994</c:v>
                </c:pt>
                <c:pt idx="28">
                  <c:v>77.603999999999999</c:v>
                </c:pt>
                <c:pt idx="29">
                  <c:v>79.774000000000001</c:v>
                </c:pt>
                <c:pt idx="30">
                  <c:v>81.944000000000003</c:v>
                </c:pt>
                <c:pt idx="31">
                  <c:v>83.613</c:v>
                </c:pt>
                <c:pt idx="32">
                  <c:v>85.616</c:v>
                </c:pt>
                <c:pt idx="33">
                  <c:v>87.87</c:v>
                </c:pt>
                <c:pt idx="34">
                  <c:v>90.456999999999994</c:v>
                </c:pt>
                <c:pt idx="35">
                  <c:v>92.293999999999997</c:v>
                </c:pt>
                <c:pt idx="36">
                  <c:v>94.463999999999999</c:v>
                </c:pt>
                <c:pt idx="37">
                  <c:v>96.466999999999999</c:v>
                </c:pt>
                <c:pt idx="38">
                  <c:v>98.302999999999997</c:v>
                </c:pt>
                <c:pt idx="39">
                  <c:v>99.972999999999999</c:v>
                </c:pt>
                <c:pt idx="40">
                  <c:v>102.477</c:v>
                </c:pt>
                <c:pt idx="41">
                  <c:v>104.81399999999999</c:v>
                </c:pt>
                <c:pt idx="42">
                  <c:v>107.151</c:v>
                </c:pt>
                <c:pt idx="43">
                  <c:v>109.822</c:v>
                </c:pt>
                <c:pt idx="44">
                  <c:v>111.90900000000001</c:v>
                </c:pt>
                <c:pt idx="45">
                  <c:v>114.16200000000001</c:v>
                </c:pt>
                <c:pt idx="46">
                  <c:v>116.08199999999999</c:v>
                </c:pt>
                <c:pt idx="47">
                  <c:v>117.83499999999999</c:v>
                </c:pt>
                <c:pt idx="48">
                  <c:v>119.003</c:v>
                </c:pt>
                <c:pt idx="49">
                  <c:v>120.506</c:v>
                </c:pt>
                <c:pt idx="50">
                  <c:v>122.425</c:v>
                </c:pt>
                <c:pt idx="51">
                  <c:v>124.011</c:v>
                </c:pt>
                <c:pt idx="52">
                  <c:v>124.846</c:v>
                </c:pt>
              </c:numCache>
            </c:numRef>
          </c:xVal>
          <c:yVal>
            <c:numRef>
              <c:f>'ADITYA 4'!$C$2:$C$54</c:f>
              <c:numCache>
                <c:formatCode>General</c:formatCode>
                <c:ptCount val="53"/>
                <c:pt idx="0">
                  <c:v>0</c:v>
                </c:pt>
                <c:pt idx="1">
                  <c:v>2.8999999999999915E-2</c:v>
                </c:pt>
                <c:pt idx="2">
                  <c:v>8.5999999999998522E-2</c:v>
                </c:pt>
                <c:pt idx="3">
                  <c:v>0.17199999999999882</c:v>
                </c:pt>
                <c:pt idx="4">
                  <c:v>0.25799999999999912</c:v>
                </c:pt>
                <c:pt idx="5">
                  <c:v>0.37299999999999933</c:v>
                </c:pt>
                <c:pt idx="6">
                  <c:v>0.43099999999999916</c:v>
                </c:pt>
                <c:pt idx="7">
                  <c:v>0.45899999999999963</c:v>
                </c:pt>
                <c:pt idx="8">
                  <c:v>0.63199999999999967</c:v>
                </c:pt>
                <c:pt idx="9">
                  <c:v>0.71799999999999997</c:v>
                </c:pt>
                <c:pt idx="10">
                  <c:v>0.71799999999999997</c:v>
                </c:pt>
                <c:pt idx="11">
                  <c:v>0.77499999999999858</c:v>
                </c:pt>
                <c:pt idx="12">
                  <c:v>0.83299999999999841</c:v>
                </c:pt>
                <c:pt idx="13">
                  <c:v>0.83299999999999841</c:v>
                </c:pt>
                <c:pt idx="14">
                  <c:v>0.88999999999999879</c:v>
                </c:pt>
                <c:pt idx="15">
                  <c:v>0.94699999999999918</c:v>
                </c:pt>
                <c:pt idx="16">
                  <c:v>0.94699999999999918</c:v>
                </c:pt>
                <c:pt idx="17">
                  <c:v>1.0619999999999994</c:v>
                </c:pt>
                <c:pt idx="18">
                  <c:v>1.0619999999999994</c:v>
                </c:pt>
                <c:pt idx="19">
                  <c:v>1.1769999999999996</c:v>
                </c:pt>
                <c:pt idx="20">
                  <c:v>1.1769999999999996</c:v>
                </c:pt>
                <c:pt idx="21">
                  <c:v>1.1769999999999996</c:v>
                </c:pt>
                <c:pt idx="22">
                  <c:v>1.2629999999999999</c:v>
                </c:pt>
                <c:pt idx="23">
                  <c:v>1.3489999999999984</c:v>
                </c:pt>
                <c:pt idx="24">
                  <c:v>1.3489999999999984</c:v>
                </c:pt>
                <c:pt idx="25">
                  <c:v>1.4069999999999983</c:v>
                </c:pt>
                <c:pt idx="26">
                  <c:v>1.5220000000000002</c:v>
                </c:pt>
                <c:pt idx="27">
                  <c:v>1.5789999999999988</c:v>
                </c:pt>
                <c:pt idx="28">
                  <c:v>1.636000000000001</c:v>
                </c:pt>
                <c:pt idx="29">
                  <c:v>1.6940000000000008</c:v>
                </c:pt>
                <c:pt idx="30">
                  <c:v>1.7799999999999994</c:v>
                </c:pt>
                <c:pt idx="31">
                  <c:v>1.8089999999999993</c:v>
                </c:pt>
                <c:pt idx="32">
                  <c:v>1.8659999999999979</c:v>
                </c:pt>
                <c:pt idx="33">
                  <c:v>1.952</c:v>
                </c:pt>
                <c:pt idx="34">
                  <c:v>1.9809999999999999</c:v>
                </c:pt>
                <c:pt idx="35">
                  <c:v>2.0959999999999983</c:v>
                </c:pt>
                <c:pt idx="36">
                  <c:v>2.0959999999999983</c:v>
                </c:pt>
                <c:pt idx="37">
                  <c:v>2.1530000000000005</c:v>
                </c:pt>
                <c:pt idx="38">
                  <c:v>2.2679999999999989</c:v>
                </c:pt>
                <c:pt idx="39">
                  <c:v>2.2969999999999988</c:v>
                </c:pt>
                <c:pt idx="40">
                  <c:v>2.4399999999999995</c:v>
                </c:pt>
                <c:pt idx="41">
                  <c:v>2.5549999999999979</c:v>
                </c:pt>
                <c:pt idx="42">
                  <c:v>2.641</c:v>
                </c:pt>
                <c:pt idx="43">
                  <c:v>2.7559999999999985</c:v>
                </c:pt>
                <c:pt idx="44">
                  <c:v>2.9859999999999989</c:v>
                </c:pt>
                <c:pt idx="45">
                  <c:v>3.3019999999999978</c:v>
                </c:pt>
                <c:pt idx="46">
                  <c:v>3.5020000000000007</c:v>
                </c:pt>
                <c:pt idx="47">
                  <c:v>3.6749999999999989</c:v>
                </c:pt>
                <c:pt idx="48">
                  <c:v>3.8759999999999994</c:v>
                </c:pt>
                <c:pt idx="49">
                  <c:v>4.1910000000000007</c:v>
                </c:pt>
                <c:pt idx="50">
                  <c:v>4.5929999999999982</c:v>
                </c:pt>
                <c:pt idx="51">
                  <c:v>4.9670000000000005</c:v>
                </c:pt>
                <c:pt idx="52">
                  <c:v>5.3109999999999982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598416"/>
        <c:axId val="1937598960"/>
      </c:scatterChart>
      <c:valAx>
        <c:axId val="19375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98960"/>
        <c:crosses val="autoZero"/>
        <c:crossBetween val="midCat"/>
      </c:valAx>
      <c:valAx>
        <c:axId val="19375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'ADITYA 5'!$C$1</c:f>
              <c:strCache>
                <c:ptCount val="1"/>
                <c:pt idx="0">
                  <c:v>load without zero error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'ADITYA 5'!$A$2:$A$51</c:f>
              <c:numCache>
                <c:formatCode>General</c:formatCode>
                <c:ptCount val="50"/>
                <c:pt idx="0">
                  <c:v>0</c:v>
                </c:pt>
                <c:pt idx="1">
                  <c:v>1.827</c:v>
                </c:pt>
                <c:pt idx="2">
                  <c:v>4.0110000000000001</c:v>
                </c:pt>
                <c:pt idx="3">
                  <c:v>7.0359999999999996</c:v>
                </c:pt>
                <c:pt idx="4">
                  <c:v>9.3879999999999999</c:v>
                </c:pt>
                <c:pt idx="5">
                  <c:v>11.571999999999999</c:v>
                </c:pt>
                <c:pt idx="6">
                  <c:v>13.587999999999999</c:v>
                </c:pt>
                <c:pt idx="7">
                  <c:v>15.603999999999999</c:v>
                </c:pt>
                <c:pt idx="8">
                  <c:v>17.788</c:v>
                </c:pt>
                <c:pt idx="9">
                  <c:v>20.309000000000001</c:v>
                </c:pt>
                <c:pt idx="10">
                  <c:v>21.821000000000002</c:v>
                </c:pt>
                <c:pt idx="11">
                  <c:v>24.172999999999998</c:v>
                </c:pt>
                <c:pt idx="12">
                  <c:v>26.356999999999999</c:v>
                </c:pt>
                <c:pt idx="13">
                  <c:v>29.381</c:v>
                </c:pt>
                <c:pt idx="14">
                  <c:v>31.901</c:v>
                </c:pt>
                <c:pt idx="15">
                  <c:v>34.758000000000003</c:v>
                </c:pt>
                <c:pt idx="16">
                  <c:v>37.277999999999999</c:v>
                </c:pt>
                <c:pt idx="17">
                  <c:v>42.905999999999999</c:v>
                </c:pt>
                <c:pt idx="18">
                  <c:v>47.527000000000001</c:v>
                </c:pt>
                <c:pt idx="19">
                  <c:v>49.375</c:v>
                </c:pt>
                <c:pt idx="20">
                  <c:v>52.399000000000001</c:v>
                </c:pt>
                <c:pt idx="21">
                  <c:v>55.255000000000003</c:v>
                </c:pt>
                <c:pt idx="22">
                  <c:v>57.606999999999999</c:v>
                </c:pt>
                <c:pt idx="23">
                  <c:v>61.136000000000003</c:v>
                </c:pt>
                <c:pt idx="24">
                  <c:v>63.655999999999999</c:v>
                </c:pt>
                <c:pt idx="25">
                  <c:v>65.84</c:v>
                </c:pt>
                <c:pt idx="26">
                  <c:v>68.024000000000001</c:v>
                </c:pt>
                <c:pt idx="27">
                  <c:v>69.872</c:v>
                </c:pt>
                <c:pt idx="28">
                  <c:v>72.477000000000004</c:v>
                </c:pt>
                <c:pt idx="29">
                  <c:v>75.668999999999997</c:v>
                </c:pt>
                <c:pt idx="30">
                  <c:v>78.188999999999993</c:v>
                </c:pt>
                <c:pt idx="31">
                  <c:v>80.625</c:v>
                </c:pt>
                <c:pt idx="32">
                  <c:v>83.984999999999999</c:v>
                </c:pt>
                <c:pt idx="33">
                  <c:v>87.346000000000004</c:v>
                </c:pt>
                <c:pt idx="34">
                  <c:v>90.034000000000006</c:v>
                </c:pt>
                <c:pt idx="35">
                  <c:v>92.554000000000002</c:v>
                </c:pt>
                <c:pt idx="36">
                  <c:v>94.738</c:v>
                </c:pt>
                <c:pt idx="37">
                  <c:v>97.426000000000002</c:v>
                </c:pt>
                <c:pt idx="38">
                  <c:v>99.863</c:v>
                </c:pt>
                <c:pt idx="39">
                  <c:v>101.627</c:v>
                </c:pt>
                <c:pt idx="40">
                  <c:v>104.14700000000001</c:v>
                </c:pt>
                <c:pt idx="41">
                  <c:v>106.667</c:v>
                </c:pt>
                <c:pt idx="42">
                  <c:v>109.523</c:v>
                </c:pt>
                <c:pt idx="43">
                  <c:v>112.884</c:v>
                </c:pt>
                <c:pt idx="44">
                  <c:v>115.74</c:v>
                </c:pt>
                <c:pt idx="45">
                  <c:v>118.596</c:v>
                </c:pt>
                <c:pt idx="46">
                  <c:v>121.788</c:v>
                </c:pt>
                <c:pt idx="47">
                  <c:v>123.3</c:v>
                </c:pt>
                <c:pt idx="48">
                  <c:v>124.22499999999999</c:v>
                </c:pt>
                <c:pt idx="49">
                  <c:v>125.31699999999999</c:v>
                </c:pt>
              </c:numCache>
            </c:numRef>
          </c:xVal>
          <c:yVal>
            <c:numRef>
              <c:f>'ADITYA 5'!$C$2:$C$51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8.6999999999999744E-2</c:v>
                </c:pt>
                <c:pt idx="3">
                  <c:v>0.17300000000000004</c:v>
                </c:pt>
                <c:pt idx="4">
                  <c:v>0.25999999999999979</c:v>
                </c:pt>
                <c:pt idx="5">
                  <c:v>0.25999999999999979</c:v>
                </c:pt>
                <c:pt idx="6">
                  <c:v>0.375</c:v>
                </c:pt>
                <c:pt idx="7">
                  <c:v>0.375</c:v>
                </c:pt>
                <c:pt idx="8">
                  <c:v>0.46199999999999974</c:v>
                </c:pt>
                <c:pt idx="9">
                  <c:v>0.54800000000000004</c:v>
                </c:pt>
                <c:pt idx="10">
                  <c:v>0.54800000000000004</c:v>
                </c:pt>
                <c:pt idx="11">
                  <c:v>0.60599999999999987</c:v>
                </c:pt>
                <c:pt idx="12">
                  <c:v>0.63499999999999979</c:v>
                </c:pt>
                <c:pt idx="13">
                  <c:v>0.63499999999999979</c:v>
                </c:pt>
                <c:pt idx="14">
                  <c:v>0.6639999999999997</c:v>
                </c:pt>
                <c:pt idx="15">
                  <c:v>0.72100000000000009</c:v>
                </c:pt>
                <c:pt idx="16">
                  <c:v>0.75</c:v>
                </c:pt>
                <c:pt idx="17">
                  <c:v>0.72100000000000009</c:v>
                </c:pt>
                <c:pt idx="18">
                  <c:v>0.80799999999999983</c:v>
                </c:pt>
                <c:pt idx="19">
                  <c:v>0.80799999999999983</c:v>
                </c:pt>
                <c:pt idx="20">
                  <c:v>0.80799999999999983</c:v>
                </c:pt>
                <c:pt idx="21">
                  <c:v>0.80799999999999983</c:v>
                </c:pt>
                <c:pt idx="22">
                  <c:v>0.83699999999999974</c:v>
                </c:pt>
                <c:pt idx="23">
                  <c:v>0.83699999999999974</c:v>
                </c:pt>
                <c:pt idx="24">
                  <c:v>0.89400000000000013</c:v>
                </c:pt>
                <c:pt idx="25">
                  <c:v>0.89400000000000013</c:v>
                </c:pt>
                <c:pt idx="26">
                  <c:v>0.89400000000000013</c:v>
                </c:pt>
                <c:pt idx="27">
                  <c:v>1.0099999999999998</c:v>
                </c:pt>
                <c:pt idx="28">
                  <c:v>1.0960000000000001</c:v>
                </c:pt>
                <c:pt idx="29">
                  <c:v>1.1829999999999998</c:v>
                </c:pt>
                <c:pt idx="30">
                  <c:v>1.1829999999999998</c:v>
                </c:pt>
                <c:pt idx="31">
                  <c:v>1.2690000000000001</c:v>
                </c:pt>
                <c:pt idx="32">
                  <c:v>1.3559999999999999</c:v>
                </c:pt>
                <c:pt idx="33">
                  <c:v>1.4140000000000015</c:v>
                </c:pt>
                <c:pt idx="34">
                  <c:v>1.5289999999999999</c:v>
                </c:pt>
                <c:pt idx="35">
                  <c:v>1.6159999999999997</c:v>
                </c:pt>
                <c:pt idx="36">
                  <c:v>1.6439999999999984</c:v>
                </c:pt>
                <c:pt idx="37">
                  <c:v>1.7019999999999982</c:v>
                </c:pt>
                <c:pt idx="38">
                  <c:v>1.7600000000000016</c:v>
                </c:pt>
                <c:pt idx="39">
                  <c:v>1.8170000000000002</c:v>
                </c:pt>
                <c:pt idx="40">
                  <c:v>1.9619999999999997</c:v>
                </c:pt>
                <c:pt idx="41">
                  <c:v>2.1060000000000016</c:v>
                </c:pt>
                <c:pt idx="42">
                  <c:v>2.2210000000000001</c:v>
                </c:pt>
                <c:pt idx="43">
                  <c:v>2.625</c:v>
                </c:pt>
                <c:pt idx="44">
                  <c:v>2.8560000000000016</c:v>
                </c:pt>
                <c:pt idx="45">
                  <c:v>3.2019999999999982</c:v>
                </c:pt>
                <c:pt idx="46">
                  <c:v>3.7210000000000001</c:v>
                </c:pt>
                <c:pt idx="47">
                  <c:v>4.1829999999999998</c:v>
                </c:pt>
                <c:pt idx="48">
                  <c:v>4.7019999999999982</c:v>
                </c:pt>
                <c:pt idx="49">
                  <c:v>5.4519999999999982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603312"/>
        <c:axId val="1937603856"/>
      </c:scatterChart>
      <c:valAx>
        <c:axId val="193760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03856"/>
        <c:crosses val="autoZero"/>
        <c:crossBetween val="midCat"/>
      </c:valAx>
      <c:valAx>
        <c:axId val="19376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0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35</xdr:row>
      <xdr:rowOff>66675</xdr:rowOff>
    </xdr:from>
    <xdr:to>
      <xdr:col>12</xdr:col>
      <xdr:colOff>380343</xdr:colOff>
      <xdr:row>53</xdr:row>
      <xdr:rowOff>66247</xdr:rowOff>
    </xdr:to>
    <xdr:pic>
      <xdr:nvPicPr>
        <xdr:cNvPr id="2" name="Picture 1" descr="ADITYA 3.1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6734175"/>
          <a:ext cx="5257143" cy="3428572"/>
        </a:xfrm>
        <a:prstGeom prst="rect">
          <a:avLst/>
        </a:prstGeom>
      </xdr:spPr>
    </xdr:pic>
    <xdr:clientData/>
  </xdr:twoCellAnchor>
  <xdr:twoCellAnchor>
    <xdr:from>
      <xdr:col>3</xdr:col>
      <xdr:colOff>609599</xdr:colOff>
      <xdr:row>9</xdr:row>
      <xdr:rowOff>30480</xdr:rowOff>
    </xdr:from>
    <xdr:to>
      <xdr:col>16</xdr:col>
      <xdr:colOff>0</xdr:colOff>
      <xdr:row>29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37</xdr:row>
      <xdr:rowOff>95250</xdr:rowOff>
    </xdr:from>
    <xdr:to>
      <xdr:col>13</xdr:col>
      <xdr:colOff>37447</xdr:colOff>
      <xdr:row>55</xdr:row>
      <xdr:rowOff>104345</xdr:rowOff>
    </xdr:to>
    <xdr:pic>
      <xdr:nvPicPr>
        <xdr:cNvPr id="2" name="Picture 1" descr="ADITYA 2.1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7143750"/>
          <a:ext cx="5228572" cy="3438095"/>
        </a:xfrm>
        <a:prstGeom prst="rect">
          <a:avLst/>
        </a:prstGeom>
      </xdr:spPr>
    </xdr:pic>
    <xdr:clientData/>
  </xdr:twoCellAnchor>
  <xdr:twoCellAnchor>
    <xdr:from>
      <xdr:col>3</xdr:col>
      <xdr:colOff>607694</xdr:colOff>
      <xdr:row>9</xdr:row>
      <xdr:rowOff>22860</xdr:rowOff>
    </xdr:from>
    <xdr:to>
      <xdr:col>16</xdr:col>
      <xdr:colOff>7619</xdr:colOff>
      <xdr:row>29</xdr:row>
      <xdr:rowOff>160021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29</xdr:row>
      <xdr:rowOff>161925</xdr:rowOff>
    </xdr:from>
    <xdr:to>
      <xdr:col>12</xdr:col>
      <xdr:colOff>399394</xdr:colOff>
      <xdr:row>47</xdr:row>
      <xdr:rowOff>190068</xdr:rowOff>
    </xdr:to>
    <xdr:pic>
      <xdr:nvPicPr>
        <xdr:cNvPr id="2" name="Picture 1" descr="ADITYA 4.1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975" y="5495925"/>
          <a:ext cx="5247619" cy="3457143"/>
        </a:xfrm>
        <a:prstGeom prst="rect">
          <a:avLst/>
        </a:prstGeom>
      </xdr:spPr>
    </xdr:pic>
    <xdr:clientData/>
  </xdr:twoCellAnchor>
  <xdr:twoCellAnchor>
    <xdr:from>
      <xdr:col>3</xdr:col>
      <xdr:colOff>601979</xdr:colOff>
      <xdr:row>6</xdr:row>
      <xdr:rowOff>38100</xdr:rowOff>
    </xdr:from>
    <xdr:to>
      <xdr:col>15</xdr:col>
      <xdr:colOff>601980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31</xdr:row>
      <xdr:rowOff>180975</xdr:rowOff>
    </xdr:from>
    <xdr:to>
      <xdr:col>12</xdr:col>
      <xdr:colOff>351773</xdr:colOff>
      <xdr:row>50</xdr:row>
      <xdr:rowOff>37666</xdr:rowOff>
    </xdr:to>
    <xdr:pic>
      <xdr:nvPicPr>
        <xdr:cNvPr id="2" name="Picture 1" descr="ADITY 5.1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6086475"/>
          <a:ext cx="5219048" cy="3476191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41909</xdr:rowOff>
    </xdr:from>
    <xdr:to>
      <xdr:col>16</xdr:col>
      <xdr:colOff>0</xdr:colOff>
      <xdr:row>31</xdr:row>
      <xdr:rowOff>167640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61" totalsRowShown="0">
  <autoFilter ref="A1:C61"/>
  <tableColumns count="3">
    <tableColumn id="1" name="disp. (mm.)"/>
    <tableColumn id="2" name="load (kN)"/>
    <tableColumn id="3" name="load without zero error" dataDxfId="0">
      <calculatedColumnFormula>+B2-14.656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64" totalsRowShown="0">
  <autoFilter ref="A1:C64"/>
  <tableColumns count="3">
    <tableColumn id="1" name="disp. (mm.)"/>
    <tableColumn id="2" name="load (kN)"/>
    <tableColumn id="3" name="load without zero error">
      <calculatedColumnFormula>+B2-14.438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54" totalsRowShown="0">
  <autoFilter ref="A1:C54"/>
  <tableColumns count="3">
    <tableColumn id="1" name="disp. (mm.)"/>
    <tableColumn id="2" name="load (kN)"/>
    <tableColumn id="3" name="load without zero error">
      <calculatedColumnFormula>+B2-14.598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1" totalsRowShown="0">
  <autoFilter ref="A1:C51"/>
  <tableColumns count="3">
    <tableColumn id="1" name="disp. (mm.)"/>
    <tableColumn id="2" name="load (kN)"/>
    <tableColumn id="3" name="load without zero error">
      <calculatedColumnFormula>+B2-14.596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61"/>
  <sheetViews>
    <sheetView tabSelected="1" workbookViewId="0">
      <selection activeCell="T26" sqref="T26"/>
    </sheetView>
  </sheetViews>
  <sheetFormatPr defaultRowHeight="14.4" x14ac:dyDescent="0.3"/>
  <cols>
    <col min="1" max="1" width="13.33203125" customWidth="1"/>
    <col min="2" max="2" width="11.33203125" customWidth="1"/>
    <col min="3" max="3" width="23.5546875" style="1" customWidth="1"/>
  </cols>
  <sheetData>
    <row r="1" spans="1:7" x14ac:dyDescent="0.3">
      <c r="A1" t="s">
        <v>2</v>
      </c>
      <c r="B1" t="s">
        <v>3</v>
      </c>
      <c r="C1" s="1" t="s">
        <v>4</v>
      </c>
    </row>
    <row r="2" spans="1:7" x14ac:dyDescent="0.3">
      <c r="A2">
        <v>0</v>
      </c>
      <c r="B2">
        <v>14.656000000000001</v>
      </c>
      <c r="C2" s="1">
        <f>+B2-14.656</f>
        <v>0</v>
      </c>
    </row>
    <row r="3" spans="1:7" x14ac:dyDescent="0.3">
      <c r="A3">
        <v>2.153</v>
      </c>
      <c r="B3">
        <v>14.808</v>
      </c>
      <c r="C3" s="1">
        <f t="shared" ref="C3:C61" si="0">+B3-14.656</f>
        <v>0.15199999999999925</v>
      </c>
    </row>
    <row r="4" spans="1:7" x14ac:dyDescent="0.3">
      <c r="A4">
        <v>5.4649999999999999</v>
      </c>
      <c r="B4">
        <v>14.79</v>
      </c>
      <c r="C4" s="1">
        <f t="shared" si="0"/>
        <v>0.13399999999999856</v>
      </c>
      <c r="F4" t="s">
        <v>0</v>
      </c>
      <c r="G4">
        <v>60</v>
      </c>
    </row>
    <row r="5" spans="1:7" x14ac:dyDescent="0.3">
      <c r="A5">
        <v>7.9489999999999998</v>
      </c>
      <c r="B5">
        <v>14.923</v>
      </c>
      <c r="C5" s="1">
        <f t="shared" si="0"/>
        <v>0.26699999999999946</v>
      </c>
      <c r="F5" t="s">
        <v>1</v>
      </c>
      <c r="G5">
        <v>140</v>
      </c>
    </row>
    <row r="6" spans="1:7" x14ac:dyDescent="0.3">
      <c r="A6">
        <v>10.433</v>
      </c>
      <c r="B6">
        <v>14.962</v>
      </c>
      <c r="C6" s="1">
        <f t="shared" si="0"/>
        <v>0.30599999999999916</v>
      </c>
    </row>
    <row r="7" spans="1:7" x14ac:dyDescent="0.3">
      <c r="A7">
        <v>12.917</v>
      </c>
      <c r="B7">
        <v>15.038</v>
      </c>
      <c r="C7" s="1">
        <f t="shared" si="0"/>
        <v>0.38199999999999967</v>
      </c>
    </row>
    <row r="8" spans="1:7" x14ac:dyDescent="0.3">
      <c r="A8">
        <v>14.573</v>
      </c>
      <c r="B8">
        <v>15.076000000000001</v>
      </c>
      <c r="C8" s="1">
        <f t="shared" si="0"/>
        <v>0.41999999999999993</v>
      </c>
    </row>
    <row r="9" spans="1:7" x14ac:dyDescent="0.3">
      <c r="A9">
        <v>16.064</v>
      </c>
      <c r="B9">
        <v>15.153</v>
      </c>
      <c r="C9" s="1">
        <f t="shared" si="0"/>
        <v>0.49699999999999989</v>
      </c>
    </row>
    <row r="10" spans="1:7" x14ac:dyDescent="0.3">
      <c r="A10">
        <v>17.72</v>
      </c>
      <c r="B10">
        <v>15.228999999999999</v>
      </c>
      <c r="C10" s="1">
        <f t="shared" si="0"/>
        <v>0.57299999999999862</v>
      </c>
    </row>
    <row r="11" spans="1:7" x14ac:dyDescent="0.3">
      <c r="A11">
        <v>19.541</v>
      </c>
      <c r="B11">
        <v>15.266999999999999</v>
      </c>
      <c r="C11" s="1">
        <f t="shared" si="0"/>
        <v>0.61099999999999888</v>
      </c>
    </row>
    <row r="12" spans="1:7" x14ac:dyDescent="0.3">
      <c r="A12">
        <v>21.196999999999999</v>
      </c>
      <c r="B12">
        <v>15.305999999999999</v>
      </c>
      <c r="C12" s="1">
        <f t="shared" si="0"/>
        <v>0.64999999999999858</v>
      </c>
    </row>
    <row r="13" spans="1:7" x14ac:dyDescent="0.3">
      <c r="A13">
        <v>22.521999999999998</v>
      </c>
      <c r="B13">
        <v>15.382</v>
      </c>
      <c r="C13" s="1">
        <f t="shared" si="0"/>
        <v>0.72599999999999909</v>
      </c>
    </row>
    <row r="14" spans="1:7" x14ac:dyDescent="0.3">
      <c r="A14">
        <v>23.763999999999999</v>
      </c>
      <c r="B14">
        <v>15.363</v>
      </c>
      <c r="C14" s="1">
        <f t="shared" si="0"/>
        <v>0.70699999999999896</v>
      </c>
    </row>
    <row r="15" spans="1:7" x14ac:dyDescent="0.3">
      <c r="A15">
        <v>25.338000000000001</v>
      </c>
      <c r="B15">
        <v>15.42</v>
      </c>
      <c r="C15" s="1">
        <f t="shared" si="0"/>
        <v>0.76399999999999935</v>
      </c>
    </row>
    <row r="16" spans="1:7" x14ac:dyDescent="0.3">
      <c r="A16">
        <v>27.158999999999999</v>
      </c>
      <c r="B16">
        <v>15.497</v>
      </c>
      <c r="C16" s="1">
        <f t="shared" si="0"/>
        <v>0.8409999999999993</v>
      </c>
    </row>
    <row r="17" spans="1:3" x14ac:dyDescent="0.3">
      <c r="A17">
        <v>29.312000000000001</v>
      </c>
      <c r="B17">
        <v>15.535</v>
      </c>
      <c r="C17" s="1">
        <f t="shared" si="0"/>
        <v>0.87899999999999956</v>
      </c>
    </row>
    <row r="18" spans="1:3" x14ac:dyDescent="0.3">
      <c r="A18">
        <v>30.637</v>
      </c>
      <c r="B18">
        <v>15.535</v>
      </c>
      <c r="C18" s="1">
        <f t="shared" si="0"/>
        <v>0.87899999999999956</v>
      </c>
    </row>
    <row r="19" spans="1:3" x14ac:dyDescent="0.3">
      <c r="A19">
        <v>31.962</v>
      </c>
      <c r="B19">
        <v>15.574</v>
      </c>
      <c r="C19" s="1">
        <f t="shared" si="0"/>
        <v>0.91799999999999926</v>
      </c>
    </row>
    <row r="20" spans="1:3" x14ac:dyDescent="0.3">
      <c r="A20">
        <v>33.618000000000002</v>
      </c>
      <c r="B20">
        <v>15.612</v>
      </c>
      <c r="C20" s="1">
        <f t="shared" si="0"/>
        <v>0.95599999999999952</v>
      </c>
    </row>
    <row r="21" spans="1:3" x14ac:dyDescent="0.3">
      <c r="A21">
        <v>35.771000000000001</v>
      </c>
      <c r="B21">
        <v>15.612</v>
      </c>
      <c r="C21" s="1">
        <f t="shared" si="0"/>
        <v>0.95599999999999952</v>
      </c>
    </row>
    <row r="22" spans="1:3" x14ac:dyDescent="0.3">
      <c r="A22">
        <v>37.758000000000003</v>
      </c>
      <c r="B22">
        <v>15.613</v>
      </c>
      <c r="C22" s="1">
        <f t="shared" si="0"/>
        <v>0.95699999999999896</v>
      </c>
    </row>
    <row r="23" spans="1:3" x14ac:dyDescent="0.3">
      <c r="A23">
        <v>39.58</v>
      </c>
      <c r="B23">
        <v>15.651</v>
      </c>
      <c r="C23" s="1">
        <f t="shared" si="0"/>
        <v>0.99499999999999922</v>
      </c>
    </row>
    <row r="24" spans="1:3" x14ac:dyDescent="0.3">
      <c r="A24">
        <v>41.731999999999999</v>
      </c>
      <c r="B24">
        <v>15.689</v>
      </c>
      <c r="C24" s="1">
        <f t="shared" si="0"/>
        <v>1.0329999999999995</v>
      </c>
    </row>
    <row r="25" spans="1:3" x14ac:dyDescent="0.3">
      <c r="A25">
        <v>43.884999999999998</v>
      </c>
      <c r="B25">
        <v>15.670999999999999</v>
      </c>
      <c r="C25" s="1">
        <f t="shared" si="0"/>
        <v>1.0149999999999988</v>
      </c>
    </row>
    <row r="26" spans="1:3" x14ac:dyDescent="0.3">
      <c r="A26">
        <v>46.037999999999997</v>
      </c>
      <c r="B26">
        <v>15.766</v>
      </c>
      <c r="C26" s="1">
        <f t="shared" si="0"/>
        <v>1.1099999999999994</v>
      </c>
    </row>
    <row r="27" spans="1:3" x14ac:dyDescent="0.3">
      <c r="A27">
        <v>47.197000000000003</v>
      </c>
      <c r="B27">
        <v>15.766</v>
      </c>
      <c r="C27" s="1">
        <f t="shared" si="0"/>
        <v>1.1099999999999994</v>
      </c>
    </row>
    <row r="28" spans="1:3" x14ac:dyDescent="0.3">
      <c r="A28">
        <v>49.185000000000002</v>
      </c>
      <c r="B28">
        <v>15.805</v>
      </c>
      <c r="C28" s="1">
        <f t="shared" si="0"/>
        <v>1.1489999999999991</v>
      </c>
    </row>
    <row r="29" spans="1:3" x14ac:dyDescent="0.3">
      <c r="A29">
        <v>50.51</v>
      </c>
      <c r="B29">
        <v>15.805</v>
      </c>
      <c r="C29" s="1">
        <f t="shared" si="0"/>
        <v>1.1489999999999991</v>
      </c>
    </row>
    <row r="30" spans="1:3" x14ac:dyDescent="0.3">
      <c r="A30">
        <v>52.828000000000003</v>
      </c>
      <c r="B30">
        <v>15.881</v>
      </c>
      <c r="C30" s="1">
        <f t="shared" si="0"/>
        <v>1.2249999999999996</v>
      </c>
    </row>
    <row r="31" spans="1:3" x14ac:dyDescent="0.3">
      <c r="A31">
        <v>54.814999999999998</v>
      </c>
      <c r="B31">
        <v>15.882</v>
      </c>
      <c r="C31" s="1">
        <f t="shared" si="0"/>
        <v>1.2259999999999991</v>
      </c>
    </row>
    <row r="32" spans="1:3" x14ac:dyDescent="0.3">
      <c r="A32">
        <v>56.968000000000004</v>
      </c>
      <c r="B32">
        <v>15.92</v>
      </c>
      <c r="C32" s="1">
        <f t="shared" si="0"/>
        <v>1.2639999999999993</v>
      </c>
    </row>
    <row r="33" spans="1:3" x14ac:dyDescent="0.3">
      <c r="A33">
        <v>59.618000000000002</v>
      </c>
      <c r="B33">
        <v>15.959</v>
      </c>
      <c r="C33" s="1">
        <f t="shared" si="0"/>
        <v>1.302999999999999</v>
      </c>
    </row>
    <row r="34" spans="1:3" x14ac:dyDescent="0.3">
      <c r="A34">
        <v>61.936</v>
      </c>
      <c r="B34">
        <v>15.978</v>
      </c>
      <c r="C34" s="1">
        <f t="shared" si="0"/>
        <v>1.3219999999999992</v>
      </c>
    </row>
    <row r="35" spans="1:3" x14ac:dyDescent="0.3">
      <c r="A35">
        <v>64.088999999999999</v>
      </c>
      <c r="B35">
        <v>15.96</v>
      </c>
      <c r="C35" s="1">
        <f t="shared" si="0"/>
        <v>1.3040000000000003</v>
      </c>
    </row>
    <row r="36" spans="1:3" x14ac:dyDescent="0.3">
      <c r="A36">
        <v>67.069999999999993</v>
      </c>
      <c r="B36">
        <v>16.036000000000001</v>
      </c>
      <c r="C36" s="1">
        <f t="shared" si="0"/>
        <v>1.3800000000000008</v>
      </c>
    </row>
    <row r="37" spans="1:3" x14ac:dyDescent="0.3">
      <c r="A37">
        <v>69.14</v>
      </c>
      <c r="B37">
        <v>16.131</v>
      </c>
      <c r="C37" s="1">
        <f t="shared" si="0"/>
        <v>1.4749999999999996</v>
      </c>
    </row>
    <row r="38" spans="1:3" x14ac:dyDescent="0.3">
      <c r="A38">
        <v>72.203999999999994</v>
      </c>
      <c r="B38">
        <v>16.189</v>
      </c>
      <c r="C38" s="1">
        <f t="shared" si="0"/>
        <v>1.5329999999999995</v>
      </c>
    </row>
    <row r="39" spans="1:3" x14ac:dyDescent="0.3">
      <c r="A39">
        <v>74.522000000000006</v>
      </c>
      <c r="B39">
        <v>16.227</v>
      </c>
      <c r="C39" s="1">
        <f t="shared" si="0"/>
        <v>1.5709999999999997</v>
      </c>
    </row>
    <row r="40" spans="1:3" x14ac:dyDescent="0.3">
      <c r="A40">
        <v>76.840999999999994</v>
      </c>
      <c r="B40">
        <v>16.228000000000002</v>
      </c>
      <c r="C40" s="1">
        <f t="shared" si="0"/>
        <v>1.572000000000001</v>
      </c>
    </row>
    <row r="41" spans="1:3" x14ac:dyDescent="0.3">
      <c r="A41">
        <v>80.153000000000006</v>
      </c>
      <c r="B41">
        <v>16.341999999999999</v>
      </c>
      <c r="C41" s="1">
        <f t="shared" si="0"/>
        <v>1.6859999999999982</v>
      </c>
    </row>
    <row r="42" spans="1:3" x14ac:dyDescent="0.3">
      <c r="A42">
        <v>82.471000000000004</v>
      </c>
      <c r="B42">
        <v>16.419</v>
      </c>
      <c r="C42" s="1">
        <f t="shared" si="0"/>
        <v>1.7629999999999999</v>
      </c>
    </row>
    <row r="43" spans="1:3" x14ac:dyDescent="0.3">
      <c r="A43">
        <v>85.120999999999995</v>
      </c>
      <c r="B43">
        <v>16.457000000000001</v>
      </c>
      <c r="C43" s="1">
        <f t="shared" si="0"/>
        <v>1.8010000000000002</v>
      </c>
    </row>
    <row r="44" spans="1:3" x14ac:dyDescent="0.3">
      <c r="A44">
        <v>87.605000000000004</v>
      </c>
      <c r="B44">
        <v>16.571999999999999</v>
      </c>
      <c r="C44" s="1">
        <f t="shared" si="0"/>
        <v>1.9159999999999986</v>
      </c>
    </row>
    <row r="45" spans="1:3" x14ac:dyDescent="0.3">
      <c r="A45">
        <v>90.254999999999995</v>
      </c>
      <c r="B45">
        <v>16.571999999999999</v>
      </c>
      <c r="C45" s="1">
        <f t="shared" si="0"/>
        <v>1.9159999999999986</v>
      </c>
    </row>
    <row r="46" spans="1:3" x14ac:dyDescent="0.3">
      <c r="A46">
        <v>93.731999999999999</v>
      </c>
      <c r="B46">
        <v>16.611000000000001</v>
      </c>
      <c r="C46" s="1">
        <f t="shared" si="0"/>
        <v>1.9550000000000001</v>
      </c>
    </row>
    <row r="47" spans="1:3" x14ac:dyDescent="0.3">
      <c r="A47">
        <v>95.72</v>
      </c>
      <c r="B47">
        <v>16.725000000000001</v>
      </c>
      <c r="C47" s="1">
        <f t="shared" si="0"/>
        <v>2.0690000000000008</v>
      </c>
    </row>
    <row r="48" spans="1:3" x14ac:dyDescent="0.3">
      <c r="A48">
        <v>98.534999999999997</v>
      </c>
      <c r="B48">
        <v>16.84</v>
      </c>
      <c r="C48" s="1">
        <f t="shared" si="0"/>
        <v>2.1839999999999993</v>
      </c>
    </row>
    <row r="49" spans="1:3" x14ac:dyDescent="0.3">
      <c r="A49">
        <v>100.688</v>
      </c>
      <c r="B49">
        <v>16.84</v>
      </c>
      <c r="C49" s="1">
        <f t="shared" si="0"/>
        <v>2.1839999999999993</v>
      </c>
    </row>
    <row r="50" spans="1:3" x14ac:dyDescent="0.3">
      <c r="A50">
        <v>103.172</v>
      </c>
      <c r="B50">
        <v>16.954999999999998</v>
      </c>
      <c r="C50" s="1">
        <f t="shared" si="0"/>
        <v>2.2989999999999977</v>
      </c>
    </row>
    <row r="51" spans="1:3" x14ac:dyDescent="0.3">
      <c r="A51">
        <v>104.66200000000001</v>
      </c>
      <c r="B51">
        <v>17.030999999999999</v>
      </c>
      <c r="C51" s="1">
        <f t="shared" si="0"/>
        <v>2.3749999999999982</v>
      </c>
    </row>
    <row r="52" spans="1:3" x14ac:dyDescent="0.3">
      <c r="A52">
        <v>107.146</v>
      </c>
      <c r="B52">
        <v>17.108000000000001</v>
      </c>
      <c r="C52" s="1">
        <f t="shared" si="0"/>
        <v>2.452</v>
      </c>
    </row>
    <row r="53" spans="1:3" x14ac:dyDescent="0.3">
      <c r="A53">
        <v>108.637</v>
      </c>
      <c r="B53">
        <v>17.222000000000001</v>
      </c>
      <c r="C53" s="1">
        <f t="shared" si="0"/>
        <v>2.5660000000000007</v>
      </c>
    </row>
    <row r="54" spans="1:3" x14ac:dyDescent="0.3">
      <c r="A54">
        <v>111.121</v>
      </c>
      <c r="B54">
        <v>17.297999999999998</v>
      </c>
      <c r="C54" s="1">
        <f t="shared" si="0"/>
        <v>2.6419999999999977</v>
      </c>
    </row>
    <row r="55" spans="1:3" x14ac:dyDescent="0.3">
      <c r="A55">
        <v>113.108</v>
      </c>
      <c r="B55">
        <v>17.451000000000001</v>
      </c>
      <c r="C55" s="1">
        <f t="shared" si="0"/>
        <v>2.7949999999999999</v>
      </c>
    </row>
    <row r="56" spans="1:3" x14ac:dyDescent="0.3">
      <c r="A56">
        <v>115.261</v>
      </c>
      <c r="B56">
        <v>17.565000000000001</v>
      </c>
      <c r="C56" s="1">
        <f t="shared" si="0"/>
        <v>2.9090000000000007</v>
      </c>
    </row>
    <row r="57" spans="1:3" x14ac:dyDescent="0.3">
      <c r="A57">
        <v>117.58</v>
      </c>
      <c r="B57">
        <v>17.927</v>
      </c>
      <c r="C57" s="1">
        <f t="shared" si="0"/>
        <v>3.270999999999999</v>
      </c>
    </row>
    <row r="58" spans="1:3" x14ac:dyDescent="0.3">
      <c r="A58">
        <v>119.401</v>
      </c>
      <c r="B58">
        <v>18.135999999999999</v>
      </c>
      <c r="C58" s="1">
        <f t="shared" si="0"/>
        <v>3.4799999999999986</v>
      </c>
    </row>
    <row r="59" spans="1:3" x14ac:dyDescent="0.3">
      <c r="A59">
        <v>120.892</v>
      </c>
      <c r="B59">
        <v>18.402000000000001</v>
      </c>
      <c r="C59" s="1">
        <f t="shared" si="0"/>
        <v>3.7460000000000004</v>
      </c>
    </row>
    <row r="60" spans="1:3" x14ac:dyDescent="0.3">
      <c r="A60">
        <v>124.20399999999999</v>
      </c>
      <c r="B60">
        <v>18.821000000000002</v>
      </c>
      <c r="C60" s="1">
        <f t="shared" si="0"/>
        <v>4.1650000000000009</v>
      </c>
    </row>
    <row r="61" spans="1:3" x14ac:dyDescent="0.3">
      <c r="A61">
        <v>125.529</v>
      </c>
      <c r="B61">
        <v>19.048999999999999</v>
      </c>
      <c r="C61" s="1">
        <f t="shared" si="0"/>
        <v>4.3929999999999989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4"/>
  <sheetViews>
    <sheetView workbookViewId="0">
      <selection activeCell="O5" sqref="O5"/>
    </sheetView>
  </sheetViews>
  <sheetFormatPr defaultRowHeight="14.4" x14ac:dyDescent="0.3"/>
  <cols>
    <col min="1" max="1" width="13.33203125" customWidth="1"/>
    <col min="2" max="2" width="11.33203125" customWidth="1"/>
    <col min="3" max="3" width="23.5546875" customWidth="1"/>
  </cols>
  <sheetData>
    <row r="1" spans="1:7" x14ac:dyDescent="0.3">
      <c r="A1" t="s">
        <v>2</v>
      </c>
      <c r="B1" t="s">
        <v>3</v>
      </c>
      <c r="C1" s="1" t="s">
        <v>4</v>
      </c>
    </row>
    <row r="2" spans="1:7" x14ac:dyDescent="0.3">
      <c r="A2">
        <v>0</v>
      </c>
      <c r="B2">
        <v>14.438000000000001</v>
      </c>
      <c r="C2">
        <f>+B2-14.438</f>
        <v>0</v>
      </c>
    </row>
    <row r="3" spans="1:7" x14ac:dyDescent="0.3">
      <c r="A3">
        <v>1.288</v>
      </c>
      <c r="B3">
        <v>14.667</v>
      </c>
      <c r="C3">
        <f t="shared" ref="C3:C64" si="0">+B3-14.438</f>
        <v>0.2289999999999992</v>
      </c>
    </row>
    <row r="4" spans="1:7" x14ac:dyDescent="0.3">
      <c r="A4">
        <v>2.1179999999999999</v>
      </c>
      <c r="B4">
        <v>14.705</v>
      </c>
      <c r="C4">
        <f t="shared" si="0"/>
        <v>0.26699999999999946</v>
      </c>
      <c r="F4" t="s">
        <v>0</v>
      </c>
      <c r="G4">
        <v>70</v>
      </c>
    </row>
    <row r="5" spans="1:7" x14ac:dyDescent="0.3">
      <c r="A5">
        <v>3.78</v>
      </c>
      <c r="B5">
        <v>14.743</v>
      </c>
      <c r="C5">
        <f t="shared" si="0"/>
        <v>0.30499999999999972</v>
      </c>
      <c r="F5" t="s">
        <v>1</v>
      </c>
      <c r="G5">
        <v>150</v>
      </c>
    </row>
    <row r="6" spans="1:7" x14ac:dyDescent="0.3">
      <c r="A6">
        <v>5.109</v>
      </c>
      <c r="B6">
        <v>14.781000000000001</v>
      </c>
      <c r="C6">
        <f t="shared" si="0"/>
        <v>0.34299999999999997</v>
      </c>
    </row>
    <row r="7" spans="1:7" x14ac:dyDescent="0.3">
      <c r="A7">
        <v>6.4379999999999997</v>
      </c>
      <c r="B7">
        <v>14.819000000000001</v>
      </c>
      <c r="C7">
        <f t="shared" si="0"/>
        <v>0.38100000000000023</v>
      </c>
    </row>
    <row r="8" spans="1:7" x14ac:dyDescent="0.3">
      <c r="A8">
        <v>7.7670000000000003</v>
      </c>
      <c r="B8">
        <v>14.856999999999999</v>
      </c>
      <c r="C8">
        <f t="shared" si="0"/>
        <v>0.41899999999999871</v>
      </c>
    </row>
    <row r="9" spans="1:7" x14ac:dyDescent="0.3">
      <c r="A9">
        <v>9.0960000000000001</v>
      </c>
      <c r="B9">
        <v>14.933</v>
      </c>
      <c r="C9">
        <f t="shared" si="0"/>
        <v>0.49499999999999922</v>
      </c>
    </row>
    <row r="10" spans="1:7" x14ac:dyDescent="0.3">
      <c r="A10">
        <v>10.259</v>
      </c>
      <c r="B10">
        <v>15.01</v>
      </c>
      <c r="C10">
        <f t="shared" si="0"/>
        <v>0.57199999999999918</v>
      </c>
    </row>
    <row r="11" spans="1:7" x14ac:dyDescent="0.3">
      <c r="A11">
        <v>12.086</v>
      </c>
      <c r="B11">
        <v>15.01</v>
      </c>
      <c r="C11">
        <f t="shared" si="0"/>
        <v>0.57199999999999918</v>
      </c>
    </row>
    <row r="12" spans="1:7" x14ac:dyDescent="0.3">
      <c r="A12">
        <v>13.414999999999999</v>
      </c>
      <c r="B12">
        <v>15.086</v>
      </c>
      <c r="C12">
        <f t="shared" si="0"/>
        <v>0.64799999999999969</v>
      </c>
    </row>
    <row r="13" spans="1:7" x14ac:dyDescent="0.3">
      <c r="A13">
        <v>15.077</v>
      </c>
      <c r="B13">
        <v>15.124000000000001</v>
      </c>
      <c r="C13">
        <f t="shared" si="0"/>
        <v>0.68599999999999994</v>
      </c>
    </row>
    <row r="14" spans="1:7" x14ac:dyDescent="0.3">
      <c r="A14">
        <v>16.405999999999999</v>
      </c>
      <c r="B14">
        <v>15.162000000000001</v>
      </c>
      <c r="C14">
        <f t="shared" si="0"/>
        <v>0.7240000000000002</v>
      </c>
    </row>
    <row r="15" spans="1:7" x14ac:dyDescent="0.3">
      <c r="A15">
        <v>17.734999999999999</v>
      </c>
      <c r="B15">
        <v>15.276</v>
      </c>
      <c r="C15">
        <f t="shared" si="0"/>
        <v>0.83799999999999919</v>
      </c>
    </row>
    <row r="16" spans="1:7" x14ac:dyDescent="0.3">
      <c r="A16">
        <v>19.562000000000001</v>
      </c>
      <c r="B16">
        <v>15.314</v>
      </c>
      <c r="C16">
        <f t="shared" si="0"/>
        <v>0.87599999999999945</v>
      </c>
    </row>
    <row r="17" spans="1:3" x14ac:dyDescent="0.3">
      <c r="A17">
        <v>21.722000000000001</v>
      </c>
      <c r="B17">
        <v>15.352</v>
      </c>
      <c r="C17">
        <f t="shared" si="0"/>
        <v>0.9139999999999997</v>
      </c>
    </row>
    <row r="18" spans="1:3" x14ac:dyDescent="0.3">
      <c r="A18">
        <v>23.716000000000001</v>
      </c>
      <c r="B18">
        <v>15.429</v>
      </c>
      <c r="C18">
        <f t="shared" si="0"/>
        <v>0.99099999999999966</v>
      </c>
    </row>
    <row r="19" spans="1:3" x14ac:dyDescent="0.3">
      <c r="A19">
        <v>25.045000000000002</v>
      </c>
      <c r="B19">
        <v>15.467000000000001</v>
      </c>
      <c r="C19">
        <f t="shared" si="0"/>
        <v>1.0289999999999999</v>
      </c>
    </row>
    <row r="20" spans="1:3" x14ac:dyDescent="0.3">
      <c r="A20">
        <v>26.54</v>
      </c>
      <c r="B20">
        <v>15.542999999999999</v>
      </c>
      <c r="C20">
        <f t="shared" si="0"/>
        <v>1.1049999999999986</v>
      </c>
    </row>
    <row r="21" spans="1:3" x14ac:dyDescent="0.3">
      <c r="A21">
        <v>27.702999999999999</v>
      </c>
      <c r="B21">
        <v>15.581</v>
      </c>
      <c r="C21">
        <f t="shared" si="0"/>
        <v>1.1429999999999989</v>
      </c>
    </row>
    <row r="22" spans="1:3" x14ac:dyDescent="0.3">
      <c r="A22">
        <v>29.696000000000002</v>
      </c>
      <c r="B22">
        <v>15.619</v>
      </c>
      <c r="C22">
        <f t="shared" si="0"/>
        <v>1.1809999999999992</v>
      </c>
    </row>
    <row r="23" spans="1:3" x14ac:dyDescent="0.3">
      <c r="A23">
        <v>31.69</v>
      </c>
      <c r="B23">
        <v>15.619</v>
      </c>
      <c r="C23">
        <f t="shared" si="0"/>
        <v>1.1809999999999992</v>
      </c>
    </row>
    <row r="24" spans="1:3" x14ac:dyDescent="0.3">
      <c r="A24">
        <v>33.518000000000001</v>
      </c>
      <c r="B24">
        <v>15.619</v>
      </c>
      <c r="C24">
        <f t="shared" si="0"/>
        <v>1.1809999999999992</v>
      </c>
    </row>
    <row r="25" spans="1:3" x14ac:dyDescent="0.3">
      <c r="A25">
        <v>36.01</v>
      </c>
      <c r="B25">
        <v>15.619</v>
      </c>
      <c r="C25">
        <f t="shared" si="0"/>
        <v>1.1809999999999992</v>
      </c>
    </row>
    <row r="26" spans="1:3" x14ac:dyDescent="0.3">
      <c r="A26">
        <v>37.505000000000003</v>
      </c>
      <c r="B26">
        <v>15.695</v>
      </c>
      <c r="C26">
        <f t="shared" si="0"/>
        <v>1.2569999999999997</v>
      </c>
    </row>
    <row r="27" spans="1:3" x14ac:dyDescent="0.3">
      <c r="A27">
        <v>40.162999999999997</v>
      </c>
      <c r="B27">
        <v>15.733000000000001</v>
      </c>
      <c r="C27">
        <f t="shared" si="0"/>
        <v>1.2949999999999999</v>
      </c>
    </row>
    <row r="28" spans="1:3" x14ac:dyDescent="0.3">
      <c r="A28">
        <v>42.156999999999996</v>
      </c>
      <c r="B28">
        <v>15.771000000000001</v>
      </c>
      <c r="C28">
        <f t="shared" si="0"/>
        <v>1.3330000000000002</v>
      </c>
    </row>
    <row r="29" spans="1:3" x14ac:dyDescent="0.3">
      <c r="A29">
        <v>44.981000000000002</v>
      </c>
      <c r="B29">
        <v>15.771000000000001</v>
      </c>
      <c r="C29">
        <f t="shared" si="0"/>
        <v>1.3330000000000002</v>
      </c>
    </row>
    <row r="30" spans="1:3" x14ac:dyDescent="0.3">
      <c r="A30">
        <v>47.140999999999998</v>
      </c>
      <c r="B30">
        <v>15.848000000000001</v>
      </c>
      <c r="C30">
        <f t="shared" si="0"/>
        <v>1.4100000000000001</v>
      </c>
    </row>
    <row r="31" spans="1:3" x14ac:dyDescent="0.3">
      <c r="A31">
        <v>49.633000000000003</v>
      </c>
      <c r="B31">
        <v>15.885999999999999</v>
      </c>
      <c r="C31">
        <f t="shared" si="0"/>
        <v>1.4479999999999986</v>
      </c>
    </row>
    <row r="32" spans="1:3" x14ac:dyDescent="0.3">
      <c r="A32">
        <v>51.792000000000002</v>
      </c>
      <c r="B32">
        <v>15.962</v>
      </c>
      <c r="C32">
        <f t="shared" si="0"/>
        <v>1.5239999999999991</v>
      </c>
    </row>
    <row r="33" spans="1:3" x14ac:dyDescent="0.3">
      <c r="A33">
        <v>54.783000000000001</v>
      </c>
      <c r="B33">
        <v>15.962</v>
      </c>
      <c r="C33">
        <f t="shared" si="0"/>
        <v>1.5239999999999991</v>
      </c>
    </row>
    <row r="34" spans="1:3" x14ac:dyDescent="0.3">
      <c r="A34">
        <v>57.606999999999999</v>
      </c>
      <c r="B34">
        <v>15.962</v>
      </c>
      <c r="C34">
        <f t="shared" si="0"/>
        <v>1.5239999999999991</v>
      </c>
    </row>
    <row r="35" spans="1:3" x14ac:dyDescent="0.3">
      <c r="A35">
        <v>62.093000000000004</v>
      </c>
      <c r="B35">
        <v>16.038</v>
      </c>
      <c r="C35">
        <f t="shared" si="0"/>
        <v>1.5999999999999996</v>
      </c>
    </row>
    <row r="36" spans="1:3" x14ac:dyDescent="0.3">
      <c r="A36">
        <v>65.248999999999995</v>
      </c>
      <c r="B36">
        <v>16.076000000000001</v>
      </c>
      <c r="C36">
        <f t="shared" si="0"/>
        <v>1.6379999999999999</v>
      </c>
    </row>
    <row r="37" spans="1:3" x14ac:dyDescent="0.3">
      <c r="A37">
        <v>67.409000000000006</v>
      </c>
      <c r="B37">
        <v>16.152000000000001</v>
      </c>
      <c r="C37">
        <f t="shared" si="0"/>
        <v>1.7140000000000004</v>
      </c>
    </row>
    <row r="38" spans="1:3" x14ac:dyDescent="0.3">
      <c r="A38">
        <v>69.403000000000006</v>
      </c>
      <c r="B38">
        <v>16.152000000000001</v>
      </c>
      <c r="C38">
        <f t="shared" si="0"/>
        <v>1.7140000000000004</v>
      </c>
    </row>
    <row r="39" spans="1:3" x14ac:dyDescent="0.3">
      <c r="A39">
        <v>72.227000000000004</v>
      </c>
      <c r="B39">
        <v>16.190000000000001</v>
      </c>
      <c r="C39">
        <f t="shared" si="0"/>
        <v>1.7520000000000007</v>
      </c>
    </row>
    <row r="40" spans="1:3" x14ac:dyDescent="0.3">
      <c r="A40">
        <v>73.888000000000005</v>
      </c>
      <c r="B40">
        <v>16.190000000000001</v>
      </c>
      <c r="C40">
        <f t="shared" si="0"/>
        <v>1.7520000000000007</v>
      </c>
    </row>
    <row r="41" spans="1:3" x14ac:dyDescent="0.3">
      <c r="A41">
        <v>75.382999999999996</v>
      </c>
      <c r="B41">
        <v>16.228999999999999</v>
      </c>
      <c r="C41">
        <f t="shared" si="0"/>
        <v>1.7909999999999986</v>
      </c>
    </row>
    <row r="42" spans="1:3" x14ac:dyDescent="0.3">
      <c r="A42">
        <v>77.376999999999995</v>
      </c>
      <c r="B42">
        <v>16.248000000000001</v>
      </c>
      <c r="C42">
        <f t="shared" si="0"/>
        <v>1.8100000000000005</v>
      </c>
    </row>
    <row r="43" spans="1:3" x14ac:dyDescent="0.3">
      <c r="A43">
        <v>79.203999999999994</v>
      </c>
      <c r="B43">
        <v>16.305</v>
      </c>
      <c r="C43">
        <f t="shared" si="0"/>
        <v>1.8669999999999991</v>
      </c>
    </row>
    <row r="44" spans="1:3" x14ac:dyDescent="0.3">
      <c r="A44">
        <v>81.53</v>
      </c>
      <c r="B44">
        <v>16.381</v>
      </c>
      <c r="C44">
        <f t="shared" si="0"/>
        <v>1.9429999999999996</v>
      </c>
    </row>
    <row r="45" spans="1:3" x14ac:dyDescent="0.3">
      <c r="A45">
        <v>83.358000000000004</v>
      </c>
      <c r="B45">
        <v>16.419</v>
      </c>
      <c r="C45">
        <f t="shared" si="0"/>
        <v>1.9809999999999999</v>
      </c>
    </row>
    <row r="46" spans="1:3" x14ac:dyDescent="0.3">
      <c r="A46">
        <v>86.182000000000002</v>
      </c>
      <c r="B46">
        <v>16.495000000000001</v>
      </c>
      <c r="C46">
        <f t="shared" si="0"/>
        <v>2.0570000000000004</v>
      </c>
    </row>
    <row r="47" spans="1:3" x14ac:dyDescent="0.3">
      <c r="A47">
        <v>88.01</v>
      </c>
      <c r="B47">
        <v>16.533000000000001</v>
      </c>
      <c r="C47">
        <f t="shared" si="0"/>
        <v>2.0950000000000006</v>
      </c>
    </row>
    <row r="48" spans="1:3" x14ac:dyDescent="0.3">
      <c r="A48">
        <v>89.504999999999995</v>
      </c>
      <c r="B48">
        <v>16.571000000000002</v>
      </c>
      <c r="C48">
        <f t="shared" si="0"/>
        <v>2.1330000000000009</v>
      </c>
    </row>
    <row r="49" spans="1:3" x14ac:dyDescent="0.3">
      <c r="A49">
        <v>92.495000000000005</v>
      </c>
      <c r="B49">
        <v>16.648</v>
      </c>
      <c r="C49">
        <f t="shared" si="0"/>
        <v>2.2099999999999991</v>
      </c>
    </row>
    <row r="50" spans="1:3" x14ac:dyDescent="0.3">
      <c r="A50">
        <v>96.980999999999995</v>
      </c>
      <c r="B50">
        <v>16.8</v>
      </c>
      <c r="C50">
        <f t="shared" si="0"/>
        <v>2.3620000000000001</v>
      </c>
    </row>
    <row r="51" spans="1:3" x14ac:dyDescent="0.3">
      <c r="A51">
        <v>100.636</v>
      </c>
      <c r="B51">
        <v>16.876000000000001</v>
      </c>
      <c r="C51">
        <f t="shared" si="0"/>
        <v>2.4380000000000006</v>
      </c>
    </row>
    <row r="52" spans="1:3" x14ac:dyDescent="0.3">
      <c r="A52">
        <v>102.629</v>
      </c>
      <c r="B52">
        <v>16.971</v>
      </c>
      <c r="C52">
        <f t="shared" si="0"/>
        <v>2.5329999999999995</v>
      </c>
    </row>
    <row r="53" spans="1:3" x14ac:dyDescent="0.3">
      <c r="A53">
        <v>105.288</v>
      </c>
      <c r="B53">
        <v>17.105</v>
      </c>
      <c r="C53">
        <f t="shared" si="0"/>
        <v>2.6669999999999998</v>
      </c>
    </row>
    <row r="54" spans="1:3" x14ac:dyDescent="0.3">
      <c r="A54">
        <v>107.613</v>
      </c>
      <c r="B54">
        <v>17.181000000000001</v>
      </c>
      <c r="C54">
        <f t="shared" si="0"/>
        <v>2.7430000000000003</v>
      </c>
    </row>
    <row r="55" spans="1:3" x14ac:dyDescent="0.3">
      <c r="A55">
        <v>109.93899999999999</v>
      </c>
      <c r="B55">
        <v>17.257000000000001</v>
      </c>
      <c r="C55">
        <f t="shared" si="0"/>
        <v>2.8190000000000008</v>
      </c>
    </row>
    <row r="56" spans="1:3" x14ac:dyDescent="0.3">
      <c r="A56">
        <v>111.93300000000001</v>
      </c>
      <c r="B56">
        <v>17.352</v>
      </c>
      <c r="C56">
        <f t="shared" si="0"/>
        <v>2.9139999999999997</v>
      </c>
    </row>
    <row r="57" spans="1:3" x14ac:dyDescent="0.3">
      <c r="A57">
        <v>113.59399999999999</v>
      </c>
      <c r="B57">
        <v>17.448</v>
      </c>
      <c r="C57">
        <f t="shared" si="0"/>
        <v>3.01</v>
      </c>
    </row>
    <row r="58" spans="1:3" x14ac:dyDescent="0.3">
      <c r="A58">
        <v>114.75700000000001</v>
      </c>
      <c r="B58">
        <v>17.581</v>
      </c>
      <c r="C58">
        <f t="shared" si="0"/>
        <v>3.1429999999999989</v>
      </c>
    </row>
    <row r="59" spans="1:3" x14ac:dyDescent="0.3">
      <c r="A59">
        <v>116.086</v>
      </c>
      <c r="B59">
        <v>17.751999999999999</v>
      </c>
      <c r="C59">
        <f t="shared" si="0"/>
        <v>3.3139999999999983</v>
      </c>
    </row>
    <row r="60" spans="1:3" x14ac:dyDescent="0.3">
      <c r="A60">
        <v>117.083</v>
      </c>
      <c r="B60">
        <v>17.943000000000001</v>
      </c>
      <c r="C60">
        <f t="shared" si="0"/>
        <v>3.5050000000000008</v>
      </c>
    </row>
    <row r="61" spans="1:3" x14ac:dyDescent="0.3">
      <c r="A61">
        <v>118.744</v>
      </c>
      <c r="B61">
        <v>18.170999999999999</v>
      </c>
      <c r="C61">
        <f t="shared" si="0"/>
        <v>3.7329999999999988</v>
      </c>
    </row>
    <row r="62" spans="1:3" x14ac:dyDescent="0.3">
      <c r="A62">
        <v>119.907</v>
      </c>
      <c r="B62">
        <v>18.399999999999999</v>
      </c>
      <c r="C62">
        <f t="shared" si="0"/>
        <v>3.961999999999998</v>
      </c>
    </row>
    <row r="63" spans="1:3" x14ac:dyDescent="0.3">
      <c r="A63">
        <v>121.735</v>
      </c>
      <c r="B63">
        <v>18.59</v>
      </c>
      <c r="C63">
        <f t="shared" si="0"/>
        <v>4.1519999999999992</v>
      </c>
    </row>
    <row r="64" spans="1:3" x14ac:dyDescent="0.3">
      <c r="A64">
        <v>123.72799999999999</v>
      </c>
      <c r="B64">
        <v>18.895</v>
      </c>
      <c r="C64">
        <f t="shared" si="0"/>
        <v>4.456999999999999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54"/>
  <sheetViews>
    <sheetView workbookViewId="0">
      <selection activeCell="S21" sqref="S21"/>
    </sheetView>
  </sheetViews>
  <sheetFormatPr defaultRowHeight="14.4" x14ac:dyDescent="0.3"/>
  <cols>
    <col min="1" max="1" width="13.33203125" customWidth="1"/>
    <col min="2" max="2" width="11.33203125" customWidth="1"/>
    <col min="3" max="3" width="23.6640625" customWidth="1"/>
  </cols>
  <sheetData>
    <row r="1" spans="1:7" x14ac:dyDescent="0.3">
      <c r="A1" t="s">
        <v>2</v>
      </c>
      <c r="B1" t="s">
        <v>3</v>
      </c>
      <c r="C1" s="1" t="s">
        <v>4</v>
      </c>
    </row>
    <row r="2" spans="1:7" x14ac:dyDescent="0.3">
      <c r="A2">
        <v>0</v>
      </c>
      <c r="B2">
        <v>14.598000000000001</v>
      </c>
      <c r="C2">
        <f>+B2-14.598</f>
        <v>0</v>
      </c>
    </row>
    <row r="3" spans="1:7" x14ac:dyDescent="0.3">
      <c r="A3">
        <v>1.982</v>
      </c>
      <c r="B3">
        <v>14.627000000000001</v>
      </c>
      <c r="C3">
        <f t="shared" ref="C3:C54" si="0">+B3-14.598</f>
        <v>2.8999999999999915E-2</v>
      </c>
    </row>
    <row r="4" spans="1:7" x14ac:dyDescent="0.3">
      <c r="A4">
        <v>4.319</v>
      </c>
      <c r="B4">
        <v>14.683999999999999</v>
      </c>
      <c r="C4">
        <f t="shared" si="0"/>
        <v>8.5999999999998522E-2</v>
      </c>
      <c r="F4" t="s">
        <v>0</v>
      </c>
      <c r="G4">
        <v>60</v>
      </c>
    </row>
    <row r="5" spans="1:7" x14ac:dyDescent="0.3">
      <c r="A5">
        <v>6.3230000000000004</v>
      </c>
      <c r="B5">
        <v>14.77</v>
      </c>
      <c r="C5">
        <f t="shared" si="0"/>
        <v>0.17199999999999882</v>
      </c>
      <c r="F5" t="s">
        <v>1</v>
      </c>
      <c r="G5">
        <v>150</v>
      </c>
    </row>
    <row r="6" spans="1:7" x14ac:dyDescent="0.3">
      <c r="A6">
        <v>9.4939999999999998</v>
      </c>
      <c r="B6">
        <v>14.856</v>
      </c>
      <c r="C6">
        <f t="shared" si="0"/>
        <v>0.25799999999999912</v>
      </c>
    </row>
    <row r="7" spans="1:7" x14ac:dyDescent="0.3">
      <c r="A7">
        <v>12.499000000000001</v>
      </c>
      <c r="B7">
        <v>14.971</v>
      </c>
      <c r="C7">
        <f t="shared" si="0"/>
        <v>0.37299999999999933</v>
      </c>
    </row>
    <row r="8" spans="1:7" x14ac:dyDescent="0.3">
      <c r="A8">
        <v>15.337</v>
      </c>
      <c r="B8">
        <v>15.029</v>
      </c>
      <c r="C8">
        <f t="shared" si="0"/>
        <v>0.43099999999999916</v>
      </c>
    </row>
    <row r="9" spans="1:7" x14ac:dyDescent="0.3">
      <c r="A9">
        <v>17.757999999999999</v>
      </c>
      <c r="B9">
        <v>15.057</v>
      </c>
      <c r="C9">
        <f t="shared" si="0"/>
        <v>0.45899999999999963</v>
      </c>
    </row>
    <row r="10" spans="1:7" x14ac:dyDescent="0.3">
      <c r="A10">
        <v>19.844000000000001</v>
      </c>
      <c r="B10">
        <v>15.23</v>
      </c>
      <c r="C10">
        <f t="shared" si="0"/>
        <v>0.63199999999999967</v>
      </c>
    </row>
    <row r="11" spans="1:7" x14ac:dyDescent="0.3">
      <c r="A11">
        <v>23.183</v>
      </c>
      <c r="B11">
        <v>15.316000000000001</v>
      </c>
      <c r="C11">
        <f t="shared" si="0"/>
        <v>0.71799999999999997</v>
      </c>
    </row>
    <row r="12" spans="1:7" x14ac:dyDescent="0.3">
      <c r="A12">
        <v>27.021999999999998</v>
      </c>
      <c r="B12">
        <v>15.316000000000001</v>
      </c>
      <c r="C12">
        <f t="shared" si="0"/>
        <v>0.71799999999999997</v>
      </c>
    </row>
    <row r="13" spans="1:7" x14ac:dyDescent="0.3">
      <c r="A13">
        <v>30.695</v>
      </c>
      <c r="B13">
        <v>15.372999999999999</v>
      </c>
      <c r="C13">
        <f t="shared" si="0"/>
        <v>0.77499999999999858</v>
      </c>
    </row>
    <row r="14" spans="1:7" x14ac:dyDescent="0.3">
      <c r="A14">
        <v>34.033999999999999</v>
      </c>
      <c r="B14">
        <v>15.430999999999999</v>
      </c>
      <c r="C14">
        <f t="shared" si="0"/>
        <v>0.83299999999999841</v>
      </c>
    </row>
    <row r="15" spans="1:7" x14ac:dyDescent="0.3">
      <c r="A15">
        <v>37.204999999999998</v>
      </c>
      <c r="B15">
        <v>15.430999999999999</v>
      </c>
      <c r="C15">
        <f t="shared" si="0"/>
        <v>0.83299999999999841</v>
      </c>
    </row>
    <row r="16" spans="1:7" x14ac:dyDescent="0.3">
      <c r="A16">
        <v>40.710999999999999</v>
      </c>
      <c r="B16">
        <v>15.488</v>
      </c>
      <c r="C16">
        <f t="shared" si="0"/>
        <v>0.88999999999999879</v>
      </c>
    </row>
    <row r="17" spans="1:3" x14ac:dyDescent="0.3">
      <c r="A17">
        <v>44.384</v>
      </c>
      <c r="B17">
        <v>15.545</v>
      </c>
      <c r="C17">
        <f t="shared" si="0"/>
        <v>0.94699999999999918</v>
      </c>
    </row>
    <row r="18" spans="1:3" x14ac:dyDescent="0.3">
      <c r="A18">
        <v>47.055</v>
      </c>
      <c r="B18">
        <v>15.545</v>
      </c>
      <c r="C18">
        <f t="shared" si="0"/>
        <v>0.94699999999999918</v>
      </c>
    </row>
    <row r="19" spans="1:3" x14ac:dyDescent="0.3">
      <c r="A19">
        <v>49.058</v>
      </c>
      <c r="B19">
        <v>15.66</v>
      </c>
      <c r="C19">
        <f t="shared" si="0"/>
        <v>1.0619999999999994</v>
      </c>
    </row>
    <row r="20" spans="1:3" x14ac:dyDescent="0.3">
      <c r="A20">
        <v>51.561999999999998</v>
      </c>
      <c r="B20">
        <v>15.66</v>
      </c>
      <c r="C20">
        <f t="shared" si="0"/>
        <v>1.0619999999999994</v>
      </c>
    </row>
    <row r="21" spans="1:3" x14ac:dyDescent="0.3">
      <c r="A21">
        <v>54.4</v>
      </c>
      <c r="B21">
        <v>15.775</v>
      </c>
      <c r="C21">
        <f t="shared" si="0"/>
        <v>1.1769999999999996</v>
      </c>
    </row>
    <row r="22" spans="1:3" x14ac:dyDescent="0.3">
      <c r="A22">
        <v>57.738</v>
      </c>
      <c r="B22">
        <v>15.775</v>
      </c>
      <c r="C22">
        <f t="shared" si="0"/>
        <v>1.1769999999999996</v>
      </c>
    </row>
    <row r="23" spans="1:3" x14ac:dyDescent="0.3">
      <c r="A23">
        <v>60.158999999999999</v>
      </c>
      <c r="B23">
        <v>15.775</v>
      </c>
      <c r="C23">
        <f t="shared" si="0"/>
        <v>1.1769999999999996</v>
      </c>
    </row>
    <row r="24" spans="1:3" x14ac:dyDescent="0.3">
      <c r="A24">
        <v>63.581000000000003</v>
      </c>
      <c r="B24">
        <v>15.861000000000001</v>
      </c>
      <c r="C24">
        <f t="shared" si="0"/>
        <v>1.2629999999999999</v>
      </c>
    </row>
    <row r="25" spans="1:3" x14ac:dyDescent="0.3">
      <c r="A25">
        <v>66.585999999999999</v>
      </c>
      <c r="B25">
        <v>15.946999999999999</v>
      </c>
      <c r="C25">
        <f t="shared" si="0"/>
        <v>1.3489999999999984</v>
      </c>
    </row>
    <row r="26" spans="1:3" x14ac:dyDescent="0.3">
      <c r="A26">
        <v>68.923000000000002</v>
      </c>
      <c r="B26">
        <v>15.946999999999999</v>
      </c>
      <c r="C26">
        <f t="shared" si="0"/>
        <v>1.3489999999999984</v>
      </c>
    </row>
    <row r="27" spans="1:3" x14ac:dyDescent="0.3">
      <c r="A27">
        <v>70.759</v>
      </c>
      <c r="B27">
        <v>16.004999999999999</v>
      </c>
      <c r="C27">
        <f t="shared" si="0"/>
        <v>1.4069999999999983</v>
      </c>
    </row>
    <row r="28" spans="1:3" x14ac:dyDescent="0.3">
      <c r="A28">
        <v>72.929000000000002</v>
      </c>
      <c r="B28">
        <v>16.12</v>
      </c>
      <c r="C28">
        <f t="shared" si="0"/>
        <v>1.5220000000000002</v>
      </c>
    </row>
    <row r="29" spans="1:3" x14ac:dyDescent="0.3">
      <c r="A29">
        <v>75.099999999999994</v>
      </c>
      <c r="B29">
        <v>16.177</v>
      </c>
      <c r="C29">
        <f t="shared" si="0"/>
        <v>1.5789999999999988</v>
      </c>
    </row>
    <row r="30" spans="1:3" x14ac:dyDescent="0.3">
      <c r="A30">
        <v>77.603999999999999</v>
      </c>
      <c r="B30">
        <v>16.234000000000002</v>
      </c>
      <c r="C30">
        <f t="shared" si="0"/>
        <v>1.636000000000001</v>
      </c>
    </row>
    <row r="31" spans="1:3" x14ac:dyDescent="0.3">
      <c r="A31">
        <v>79.774000000000001</v>
      </c>
      <c r="B31">
        <v>16.292000000000002</v>
      </c>
      <c r="C31">
        <f t="shared" si="0"/>
        <v>1.6940000000000008</v>
      </c>
    </row>
    <row r="32" spans="1:3" x14ac:dyDescent="0.3">
      <c r="A32">
        <v>81.944000000000003</v>
      </c>
      <c r="B32">
        <v>16.378</v>
      </c>
      <c r="C32">
        <f t="shared" si="0"/>
        <v>1.7799999999999994</v>
      </c>
    </row>
    <row r="33" spans="1:3" x14ac:dyDescent="0.3">
      <c r="A33">
        <v>83.613</v>
      </c>
      <c r="B33">
        <v>16.407</v>
      </c>
      <c r="C33">
        <f t="shared" si="0"/>
        <v>1.8089999999999993</v>
      </c>
    </row>
    <row r="34" spans="1:3" x14ac:dyDescent="0.3">
      <c r="A34">
        <v>85.616</v>
      </c>
      <c r="B34">
        <v>16.463999999999999</v>
      </c>
      <c r="C34">
        <f t="shared" si="0"/>
        <v>1.8659999999999979</v>
      </c>
    </row>
    <row r="35" spans="1:3" x14ac:dyDescent="0.3">
      <c r="A35">
        <v>87.87</v>
      </c>
      <c r="B35">
        <v>16.55</v>
      </c>
      <c r="C35">
        <f t="shared" si="0"/>
        <v>1.952</v>
      </c>
    </row>
    <row r="36" spans="1:3" x14ac:dyDescent="0.3">
      <c r="A36">
        <v>90.456999999999994</v>
      </c>
      <c r="B36">
        <v>16.579000000000001</v>
      </c>
      <c r="C36">
        <f t="shared" si="0"/>
        <v>1.9809999999999999</v>
      </c>
    </row>
    <row r="37" spans="1:3" x14ac:dyDescent="0.3">
      <c r="A37">
        <v>92.293999999999997</v>
      </c>
      <c r="B37">
        <v>16.693999999999999</v>
      </c>
      <c r="C37">
        <f t="shared" si="0"/>
        <v>2.0959999999999983</v>
      </c>
    </row>
    <row r="38" spans="1:3" x14ac:dyDescent="0.3">
      <c r="A38">
        <v>94.463999999999999</v>
      </c>
      <c r="B38">
        <v>16.693999999999999</v>
      </c>
      <c r="C38">
        <f t="shared" si="0"/>
        <v>2.0959999999999983</v>
      </c>
    </row>
    <row r="39" spans="1:3" x14ac:dyDescent="0.3">
      <c r="A39">
        <v>96.466999999999999</v>
      </c>
      <c r="B39">
        <v>16.751000000000001</v>
      </c>
      <c r="C39">
        <f t="shared" si="0"/>
        <v>2.1530000000000005</v>
      </c>
    </row>
    <row r="40" spans="1:3" x14ac:dyDescent="0.3">
      <c r="A40">
        <v>98.302999999999997</v>
      </c>
      <c r="B40">
        <v>16.866</v>
      </c>
      <c r="C40">
        <f t="shared" si="0"/>
        <v>2.2679999999999989</v>
      </c>
    </row>
    <row r="41" spans="1:3" x14ac:dyDescent="0.3">
      <c r="A41">
        <v>99.972999999999999</v>
      </c>
      <c r="B41">
        <v>16.895</v>
      </c>
      <c r="C41">
        <f t="shared" si="0"/>
        <v>2.2969999999999988</v>
      </c>
    </row>
    <row r="42" spans="1:3" x14ac:dyDescent="0.3">
      <c r="A42">
        <v>102.477</v>
      </c>
      <c r="B42">
        <v>17.038</v>
      </c>
      <c r="C42">
        <f t="shared" si="0"/>
        <v>2.4399999999999995</v>
      </c>
    </row>
    <row r="43" spans="1:3" x14ac:dyDescent="0.3">
      <c r="A43">
        <v>104.81399999999999</v>
      </c>
      <c r="B43">
        <v>17.152999999999999</v>
      </c>
      <c r="C43">
        <f t="shared" si="0"/>
        <v>2.5549999999999979</v>
      </c>
    </row>
    <row r="44" spans="1:3" x14ac:dyDescent="0.3">
      <c r="A44">
        <v>107.151</v>
      </c>
      <c r="B44">
        <v>17.239000000000001</v>
      </c>
      <c r="C44">
        <f t="shared" si="0"/>
        <v>2.641</v>
      </c>
    </row>
    <row r="45" spans="1:3" x14ac:dyDescent="0.3">
      <c r="A45">
        <v>109.822</v>
      </c>
      <c r="B45">
        <v>17.353999999999999</v>
      </c>
      <c r="C45">
        <f t="shared" si="0"/>
        <v>2.7559999999999985</v>
      </c>
    </row>
    <row r="46" spans="1:3" x14ac:dyDescent="0.3">
      <c r="A46">
        <v>111.90900000000001</v>
      </c>
      <c r="B46">
        <v>17.584</v>
      </c>
      <c r="C46">
        <f t="shared" si="0"/>
        <v>2.9859999999999989</v>
      </c>
    </row>
    <row r="47" spans="1:3" x14ac:dyDescent="0.3">
      <c r="A47">
        <v>114.16200000000001</v>
      </c>
      <c r="B47">
        <v>17.899999999999999</v>
      </c>
      <c r="C47">
        <f t="shared" si="0"/>
        <v>3.3019999999999978</v>
      </c>
    </row>
    <row r="48" spans="1:3" x14ac:dyDescent="0.3">
      <c r="A48">
        <v>116.08199999999999</v>
      </c>
      <c r="B48">
        <v>18.100000000000001</v>
      </c>
      <c r="C48">
        <f t="shared" si="0"/>
        <v>3.5020000000000007</v>
      </c>
    </row>
    <row r="49" spans="1:3" x14ac:dyDescent="0.3">
      <c r="A49">
        <v>117.83499999999999</v>
      </c>
      <c r="B49">
        <v>18.273</v>
      </c>
      <c r="C49">
        <f t="shared" si="0"/>
        <v>3.6749999999999989</v>
      </c>
    </row>
    <row r="50" spans="1:3" x14ac:dyDescent="0.3">
      <c r="A50">
        <v>119.003</v>
      </c>
      <c r="B50">
        <v>18.474</v>
      </c>
      <c r="C50">
        <f t="shared" si="0"/>
        <v>3.8759999999999994</v>
      </c>
    </row>
    <row r="51" spans="1:3" x14ac:dyDescent="0.3">
      <c r="A51">
        <v>120.506</v>
      </c>
      <c r="B51">
        <v>18.789000000000001</v>
      </c>
      <c r="C51">
        <f t="shared" si="0"/>
        <v>4.1910000000000007</v>
      </c>
    </row>
    <row r="52" spans="1:3" x14ac:dyDescent="0.3">
      <c r="A52">
        <v>122.425</v>
      </c>
      <c r="B52">
        <v>19.190999999999999</v>
      </c>
      <c r="C52">
        <f t="shared" si="0"/>
        <v>4.5929999999999982</v>
      </c>
    </row>
    <row r="53" spans="1:3" x14ac:dyDescent="0.3">
      <c r="A53">
        <v>124.011</v>
      </c>
      <c r="B53">
        <v>19.565000000000001</v>
      </c>
      <c r="C53">
        <f t="shared" si="0"/>
        <v>4.9670000000000005</v>
      </c>
    </row>
    <row r="54" spans="1:3" x14ac:dyDescent="0.3">
      <c r="A54">
        <v>124.846</v>
      </c>
      <c r="B54">
        <v>19.908999999999999</v>
      </c>
      <c r="C54">
        <f t="shared" si="0"/>
        <v>5.3109999999999982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51"/>
  <sheetViews>
    <sheetView workbookViewId="0">
      <selection activeCell="R17" sqref="R17"/>
    </sheetView>
  </sheetViews>
  <sheetFormatPr defaultRowHeight="14.4" x14ac:dyDescent="0.3"/>
  <cols>
    <col min="1" max="1" width="13.33203125" customWidth="1"/>
    <col min="2" max="2" width="11.33203125" customWidth="1"/>
    <col min="3" max="3" width="23.5546875" customWidth="1"/>
  </cols>
  <sheetData>
    <row r="1" spans="1:7" x14ac:dyDescent="0.3">
      <c r="A1" t="s">
        <v>2</v>
      </c>
      <c r="B1" t="s">
        <v>3</v>
      </c>
      <c r="C1" s="1" t="s">
        <v>4</v>
      </c>
    </row>
    <row r="2" spans="1:7" x14ac:dyDescent="0.3">
      <c r="A2">
        <v>0</v>
      </c>
      <c r="B2">
        <v>14.596</v>
      </c>
      <c r="C2">
        <f t="shared" ref="C2:C33" si="0">+B2-14.596</f>
        <v>0</v>
      </c>
    </row>
    <row r="3" spans="1:7" x14ac:dyDescent="0.3">
      <c r="A3">
        <v>1.827</v>
      </c>
      <c r="B3">
        <v>14.596</v>
      </c>
      <c r="C3">
        <f t="shared" si="0"/>
        <v>0</v>
      </c>
    </row>
    <row r="4" spans="1:7" x14ac:dyDescent="0.3">
      <c r="A4">
        <v>4.0110000000000001</v>
      </c>
      <c r="B4">
        <v>14.683</v>
      </c>
      <c r="C4">
        <f t="shared" si="0"/>
        <v>8.6999999999999744E-2</v>
      </c>
      <c r="F4" t="s">
        <v>0</v>
      </c>
      <c r="G4">
        <v>50</v>
      </c>
    </row>
    <row r="5" spans="1:7" x14ac:dyDescent="0.3">
      <c r="A5">
        <v>7.0359999999999996</v>
      </c>
      <c r="B5">
        <v>14.769</v>
      </c>
      <c r="C5">
        <f t="shared" si="0"/>
        <v>0.17300000000000004</v>
      </c>
      <c r="F5" t="s">
        <v>1</v>
      </c>
      <c r="G5">
        <v>150</v>
      </c>
    </row>
    <row r="6" spans="1:7" x14ac:dyDescent="0.3">
      <c r="A6">
        <v>9.3879999999999999</v>
      </c>
      <c r="B6">
        <v>14.856</v>
      </c>
      <c r="C6">
        <f t="shared" si="0"/>
        <v>0.25999999999999979</v>
      </c>
    </row>
    <row r="7" spans="1:7" x14ac:dyDescent="0.3">
      <c r="A7">
        <v>11.571999999999999</v>
      </c>
      <c r="B7">
        <v>14.856</v>
      </c>
      <c r="C7">
        <f t="shared" si="0"/>
        <v>0.25999999999999979</v>
      </c>
    </row>
    <row r="8" spans="1:7" x14ac:dyDescent="0.3">
      <c r="A8">
        <v>13.587999999999999</v>
      </c>
      <c r="B8">
        <v>14.971</v>
      </c>
      <c r="C8">
        <f t="shared" si="0"/>
        <v>0.375</v>
      </c>
    </row>
    <row r="9" spans="1:7" x14ac:dyDescent="0.3">
      <c r="A9">
        <v>15.603999999999999</v>
      </c>
      <c r="B9">
        <v>14.971</v>
      </c>
      <c r="C9">
        <f t="shared" si="0"/>
        <v>0.375</v>
      </c>
    </row>
    <row r="10" spans="1:7" x14ac:dyDescent="0.3">
      <c r="A10">
        <v>17.788</v>
      </c>
      <c r="B10">
        <v>15.058</v>
      </c>
      <c r="C10">
        <f t="shared" si="0"/>
        <v>0.46199999999999974</v>
      </c>
    </row>
    <row r="11" spans="1:7" x14ac:dyDescent="0.3">
      <c r="A11">
        <v>20.309000000000001</v>
      </c>
      <c r="B11">
        <v>15.144</v>
      </c>
      <c r="C11">
        <f t="shared" si="0"/>
        <v>0.54800000000000004</v>
      </c>
    </row>
    <row r="12" spans="1:7" x14ac:dyDescent="0.3">
      <c r="A12">
        <v>21.821000000000002</v>
      </c>
      <c r="B12">
        <v>15.144</v>
      </c>
      <c r="C12">
        <f t="shared" si="0"/>
        <v>0.54800000000000004</v>
      </c>
    </row>
    <row r="13" spans="1:7" x14ac:dyDescent="0.3">
      <c r="A13">
        <v>24.172999999999998</v>
      </c>
      <c r="B13">
        <v>15.202</v>
      </c>
      <c r="C13">
        <f t="shared" si="0"/>
        <v>0.60599999999999987</v>
      </c>
    </row>
    <row r="14" spans="1:7" x14ac:dyDescent="0.3">
      <c r="A14">
        <v>26.356999999999999</v>
      </c>
      <c r="B14">
        <v>15.231</v>
      </c>
      <c r="C14">
        <f t="shared" si="0"/>
        <v>0.63499999999999979</v>
      </c>
    </row>
    <row r="15" spans="1:7" x14ac:dyDescent="0.3">
      <c r="A15">
        <v>29.381</v>
      </c>
      <c r="B15">
        <v>15.231</v>
      </c>
      <c r="C15">
        <f t="shared" si="0"/>
        <v>0.63499999999999979</v>
      </c>
    </row>
    <row r="16" spans="1:7" x14ac:dyDescent="0.3">
      <c r="A16">
        <v>31.901</v>
      </c>
      <c r="B16">
        <v>15.26</v>
      </c>
      <c r="C16">
        <f t="shared" si="0"/>
        <v>0.6639999999999997</v>
      </c>
    </row>
    <row r="17" spans="1:3" x14ac:dyDescent="0.3">
      <c r="A17">
        <v>34.758000000000003</v>
      </c>
      <c r="B17">
        <v>15.317</v>
      </c>
      <c r="C17">
        <f t="shared" si="0"/>
        <v>0.72100000000000009</v>
      </c>
    </row>
    <row r="18" spans="1:3" x14ac:dyDescent="0.3">
      <c r="A18">
        <v>37.277999999999999</v>
      </c>
      <c r="B18">
        <v>15.346</v>
      </c>
      <c r="C18">
        <f t="shared" si="0"/>
        <v>0.75</v>
      </c>
    </row>
    <row r="19" spans="1:3" x14ac:dyDescent="0.3">
      <c r="A19">
        <v>42.905999999999999</v>
      </c>
      <c r="B19">
        <v>15.317</v>
      </c>
      <c r="C19">
        <f t="shared" si="0"/>
        <v>0.72100000000000009</v>
      </c>
    </row>
    <row r="20" spans="1:3" x14ac:dyDescent="0.3">
      <c r="A20">
        <v>47.527000000000001</v>
      </c>
      <c r="B20">
        <v>15.404</v>
      </c>
      <c r="C20">
        <f t="shared" si="0"/>
        <v>0.80799999999999983</v>
      </c>
    </row>
    <row r="21" spans="1:3" x14ac:dyDescent="0.3">
      <c r="A21">
        <v>49.375</v>
      </c>
      <c r="B21">
        <v>15.404</v>
      </c>
      <c r="C21">
        <f t="shared" si="0"/>
        <v>0.80799999999999983</v>
      </c>
    </row>
    <row r="22" spans="1:3" x14ac:dyDescent="0.3">
      <c r="A22">
        <v>52.399000000000001</v>
      </c>
      <c r="B22">
        <v>15.404</v>
      </c>
      <c r="C22">
        <f t="shared" si="0"/>
        <v>0.80799999999999983</v>
      </c>
    </row>
    <row r="23" spans="1:3" x14ac:dyDescent="0.3">
      <c r="A23">
        <v>55.255000000000003</v>
      </c>
      <c r="B23">
        <v>15.404</v>
      </c>
      <c r="C23">
        <f t="shared" si="0"/>
        <v>0.80799999999999983</v>
      </c>
    </row>
    <row r="24" spans="1:3" x14ac:dyDescent="0.3">
      <c r="A24">
        <v>57.606999999999999</v>
      </c>
      <c r="B24">
        <v>15.433</v>
      </c>
      <c r="C24">
        <f t="shared" si="0"/>
        <v>0.83699999999999974</v>
      </c>
    </row>
    <row r="25" spans="1:3" x14ac:dyDescent="0.3">
      <c r="A25">
        <v>61.136000000000003</v>
      </c>
      <c r="B25">
        <v>15.433</v>
      </c>
      <c r="C25">
        <f t="shared" si="0"/>
        <v>0.83699999999999974</v>
      </c>
    </row>
    <row r="26" spans="1:3" x14ac:dyDescent="0.3">
      <c r="A26">
        <v>63.655999999999999</v>
      </c>
      <c r="B26">
        <v>15.49</v>
      </c>
      <c r="C26">
        <f t="shared" si="0"/>
        <v>0.89400000000000013</v>
      </c>
    </row>
    <row r="27" spans="1:3" x14ac:dyDescent="0.3">
      <c r="A27">
        <v>65.84</v>
      </c>
      <c r="B27">
        <v>15.49</v>
      </c>
      <c r="C27">
        <f t="shared" si="0"/>
        <v>0.89400000000000013</v>
      </c>
    </row>
    <row r="28" spans="1:3" x14ac:dyDescent="0.3">
      <c r="A28">
        <v>68.024000000000001</v>
      </c>
      <c r="B28">
        <v>15.49</v>
      </c>
      <c r="C28">
        <f t="shared" si="0"/>
        <v>0.89400000000000013</v>
      </c>
    </row>
    <row r="29" spans="1:3" x14ac:dyDescent="0.3">
      <c r="A29">
        <v>69.872</v>
      </c>
      <c r="B29">
        <v>15.606</v>
      </c>
      <c r="C29">
        <f t="shared" si="0"/>
        <v>1.0099999999999998</v>
      </c>
    </row>
    <row r="30" spans="1:3" x14ac:dyDescent="0.3">
      <c r="A30">
        <v>72.477000000000004</v>
      </c>
      <c r="B30">
        <v>15.692</v>
      </c>
      <c r="C30">
        <f t="shared" si="0"/>
        <v>1.0960000000000001</v>
      </c>
    </row>
    <row r="31" spans="1:3" x14ac:dyDescent="0.3">
      <c r="A31">
        <v>75.668999999999997</v>
      </c>
      <c r="B31">
        <v>15.779</v>
      </c>
      <c r="C31">
        <f t="shared" si="0"/>
        <v>1.1829999999999998</v>
      </c>
    </row>
    <row r="32" spans="1:3" x14ac:dyDescent="0.3">
      <c r="A32">
        <v>78.188999999999993</v>
      </c>
      <c r="B32">
        <v>15.779</v>
      </c>
      <c r="C32">
        <f t="shared" si="0"/>
        <v>1.1829999999999998</v>
      </c>
    </row>
    <row r="33" spans="1:3" x14ac:dyDescent="0.3">
      <c r="A33">
        <v>80.625</v>
      </c>
      <c r="B33">
        <v>15.865</v>
      </c>
      <c r="C33">
        <f t="shared" si="0"/>
        <v>1.2690000000000001</v>
      </c>
    </row>
    <row r="34" spans="1:3" x14ac:dyDescent="0.3">
      <c r="A34">
        <v>83.984999999999999</v>
      </c>
      <c r="B34">
        <v>15.952</v>
      </c>
      <c r="C34">
        <f t="shared" ref="C34:C51" si="1">+B34-14.596</f>
        <v>1.3559999999999999</v>
      </c>
    </row>
    <row r="35" spans="1:3" x14ac:dyDescent="0.3">
      <c r="A35">
        <v>87.346000000000004</v>
      </c>
      <c r="B35">
        <v>16.010000000000002</v>
      </c>
      <c r="C35">
        <f t="shared" si="1"/>
        <v>1.4140000000000015</v>
      </c>
    </row>
    <row r="36" spans="1:3" x14ac:dyDescent="0.3">
      <c r="A36">
        <v>90.034000000000006</v>
      </c>
      <c r="B36">
        <v>16.125</v>
      </c>
      <c r="C36">
        <f t="shared" si="1"/>
        <v>1.5289999999999999</v>
      </c>
    </row>
    <row r="37" spans="1:3" x14ac:dyDescent="0.3">
      <c r="A37">
        <v>92.554000000000002</v>
      </c>
      <c r="B37">
        <v>16.212</v>
      </c>
      <c r="C37">
        <f t="shared" si="1"/>
        <v>1.6159999999999997</v>
      </c>
    </row>
    <row r="38" spans="1:3" x14ac:dyDescent="0.3">
      <c r="A38">
        <v>94.738</v>
      </c>
      <c r="B38">
        <v>16.239999999999998</v>
      </c>
      <c r="C38">
        <f t="shared" si="1"/>
        <v>1.6439999999999984</v>
      </c>
    </row>
    <row r="39" spans="1:3" x14ac:dyDescent="0.3">
      <c r="A39">
        <v>97.426000000000002</v>
      </c>
      <c r="B39">
        <v>16.297999999999998</v>
      </c>
      <c r="C39">
        <f t="shared" si="1"/>
        <v>1.7019999999999982</v>
      </c>
    </row>
    <row r="40" spans="1:3" x14ac:dyDescent="0.3">
      <c r="A40">
        <v>99.863</v>
      </c>
      <c r="B40">
        <v>16.356000000000002</v>
      </c>
      <c r="C40">
        <f t="shared" si="1"/>
        <v>1.7600000000000016</v>
      </c>
    </row>
    <row r="41" spans="1:3" x14ac:dyDescent="0.3">
      <c r="A41">
        <v>101.627</v>
      </c>
      <c r="B41">
        <v>16.413</v>
      </c>
      <c r="C41">
        <f t="shared" si="1"/>
        <v>1.8170000000000002</v>
      </c>
    </row>
    <row r="42" spans="1:3" x14ac:dyDescent="0.3">
      <c r="A42">
        <v>104.14700000000001</v>
      </c>
      <c r="B42">
        <v>16.558</v>
      </c>
      <c r="C42">
        <f t="shared" si="1"/>
        <v>1.9619999999999997</v>
      </c>
    </row>
    <row r="43" spans="1:3" x14ac:dyDescent="0.3">
      <c r="A43">
        <v>106.667</v>
      </c>
      <c r="B43">
        <v>16.702000000000002</v>
      </c>
      <c r="C43">
        <f t="shared" si="1"/>
        <v>2.1060000000000016</v>
      </c>
    </row>
    <row r="44" spans="1:3" x14ac:dyDescent="0.3">
      <c r="A44">
        <v>109.523</v>
      </c>
      <c r="B44">
        <v>16.817</v>
      </c>
      <c r="C44">
        <f t="shared" si="1"/>
        <v>2.2210000000000001</v>
      </c>
    </row>
    <row r="45" spans="1:3" x14ac:dyDescent="0.3">
      <c r="A45">
        <v>112.884</v>
      </c>
      <c r="B45">
        <v>17.221</v>
      </c>
      <c r="C45">
        <f t="shared" si="1"/>
        <v>2.625</v>
      </c>
    </row>
    <row r="46" spans="1:3" x14ac:dyDescent="0.3">
      <c r="A46">
        <v>115.74</v>
      </c>
      <c r="B46">
        <v>17.452000000000002</v>
      </c>
      <c r="C46">
        <f t="shared" si="1"/>
        <v>2.8560000000000016</v>
      </c>
    </row>
    <row r="47" spans="1:3" x14ac:dyDescent="0.3">
      <c r="A47">
        <v>118.596</v>
      </c>
      <c r="B47">
        <v>17.797999999999998</v>
      </c>
      <c r="C47">
        <f t="shared" si="1"/>
        <v>3.2019999999999982</v>
      </c>
    </row>
    <row r="48" spans="1:3" x14ac:dyDescent="0.3">
      <c r="A48">
        <v>121.788</v>
      </c>
      <c r="B48">
        <v>18.317</v>
      </c>
      <c r="C48">
        <f t="shared" si="1"/>
        <v>3.7210000000000001</v>
      </c>
    </row>
    <row r="49" spans="1:3" x14ac:dyDescent="0.3">
      <c r="A49">
        <v>123.3</v>
      </c>
      <c r="B49">
        <v>18.779</v>
      </c>
      <c r="C49">
        <f t="shared" si="1"/>
        <v>4.1829999999999998</v>
      </c>
    </row>
    <row r="50" spans="1:3" x14ac:dyDescent="0.3">
      <c r="A50">
        <v>124.22499999999999</v>
      </c>
      <c r="B50">
        <v>19.297999999999998</v>
      </c>
      <c r="C50">
        <f t="shared" si="1"/>
        <v>4.7019999999999982</v>
      </c>
    </row>
    <row r="51" spans="1:3" x14ac:dyDescent="0.3">
      <c r="A51">
        <v>125.31699999999999</v>
      </c>
      <c r="B51">
        <v>20.047999999999998</v>
      </c>
      <c r="C51">
        <f t="shared" si="1"/>
        <v>5.4519999999999982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ADITYA 3</vt:lpstr>
      <vt:lpstr>ADITYA 2</vt:lpstr>
      <vt:lpstr>ADITYA 4</vt:lpstr>
      <vt:lpstr>ADITYA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Saurabh Suman</cp:lastModifiedBy>
  <dcterms:created xsi:type="dcterms:W3CDTF">2018-07-04T13:53:08Z</dcterms:created>
  <dcterms:modified xsi:type="dcterms:W3CDTF">2020-09-15T15:06:06Z</dcterms:modified>
</cp:coreProperties>
</file>